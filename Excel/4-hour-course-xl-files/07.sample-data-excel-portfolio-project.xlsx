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Override PartName="/xl/richData/rdrichvaluestructure.xml" ContentType="application/vnd.ms-excel.rdrichvaluestruc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C:\Users\Dell 7490\Desktop\PythonLibraries\PythonJupitarNotebook\Excel\4-hour-course-xl-files\"/>
    </mc:Choice>
  </mc:AlternateContent>
  <xr:revisionPtr revIDLastSave="0" documentId="13_ncr:1_{2E064E7E-46C2-445D-9A55-84E61BF63E24}" xr6:coauthVersionLast="47" xr6:coauthVersionMax="47" xr10:uidLastSave="{00000000-0000-0000-0000-000000000000}"/>
  <bookViews>
    <workbookView xWindow="-110" yWindow="-110" windowWidth="19420" windowHeight="10300" activeTab="3" xr2:uid="{26D4546B-D2A1-4444-8EAF-A6228F96F0C1}"/>
  </bookViews>
  <sheets>
    <sheet name="Data" sheetId="2" r:id="rId1"/>
    <sheet name="Assets" sheetId="4" r:id="rId2"/>
    <sheet name="Sheet1" sheetId="5" r:id="rId3"/>
    <sheet name="Pivots" sheetId="6" r:id="rId4"/>
  </sheets>
  <definedNames>
    <definedName name="_xlnm._FilterDatabase" localSheetId="0" hidden="1">Data!$B$3:$H$1003</definedName>
    <definedName name="_xlcn.WorksheetConnection_07.sampledataexcelportfolioproject.xlsxcalls1" hidden="1">calls[]</definedName>
    <definedName name="_xlcn.WorksheetConnection_07.sampledataexcelportfolioproject.xlsxcustomers1" hidden="1">customers[]</definedName>
    <definedName name="Slicer_Representative">#N/A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s>
  <extLst>
    <ext xmlns:x14="http://schemas.microsoft.com/office/spreadsheetml/2009/9/main" uri="{876F7934-8845-4945-9796-88D515C7AA90}">
      <x14:pivotCaches>
        <pivotCache cacheId="8"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Lst>
</workbook>
</file>

<file path=xl/calcChain.xml><?xml version="1.0" encoding="utf-8"?>
<calcChain xmlns="http://schemas.openxmlformats.org/spreadsheetml/2006/main">
  <c r="I51" i="6" l="1"/>
  <c r="H53" i="6" s="1"/>
  <c r="F53" i="6"/>
  <c r="G53" i="6"/>
  <c r="F54" i="6"/>
  <c r="G54" i="6"/>
  <c r="F55" i="6"/>
  <c r="G55" i="6"/>
  <c r="F56" i="6"/>
  <c r="G56" i="6"/>
  <c r="F57" i="6"/>
  <c r="G57" i="6"/>
  <c r="E54" i="6"/>
  <c r="E55" i="6"/>
  <c r="E56" i="6"/>
  <c r="E57" i="6"/>
  <c r="E53" i="6"/>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H56" i="6" l="1"/>
  <c r="H55" i="6"/>
  <c r="H54" i="6"/>
  <c r="I53" i="6"/>
  <c r="I57" i="6"/>
  <c r="I56" i="6"/>
  <c r="I55" i="6"/>
  <c r="H57" i="6"/>
  <c r="I54"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F9B897-5760-4B0B-BD27-F6A34AF4B11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A7D8B0C-DE0D-4E2F-A1DE-F8C6273D25DF}"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BF70BC9E-31C1-4995-BDEE-8B43266D3F41}"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3">
    <bk>
      <extLst>
        <ext xmlns:xlrd="http://schemas.microsoft.com/office/spreadsheetml/2017/richdata" uri="{3e2802c4-a4d2-4d8b-9148-e3be6c30e623}">
          <xlrd:rvb i="1"/>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<sst xmlns="http://schemas.openxmlformats.org/spreadsheetml/2006/main" count="3135" uniqueCount="1077">
  <si>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</si>
  <si>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</si>
  <si>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</si>
  <si>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</si>
  <si>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</si>
  <si>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</si>
  <si>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</si>
  <si>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</si>
  <si>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</si>
  <si>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</si>
  <si>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</si>
  <si>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</si>
  <si>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</si>
  <si>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</si>
  <si>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</si>
  <si>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</si>
  <si>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</si>
  <si>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</si>
  <si>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</si>
  <si>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</si>
  <si>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</si>
  <si>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</si>
  <si>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</si>
  <si>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</si>
  <si>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</si>
  <si>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</si>
  <si>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</si>
  <si>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</si>
  <si>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</si>
  <si>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</si>
  <si>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</si>
  <si>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</si>
  <si>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</si>
  <si>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</si>
  <si>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</si>
  <si>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</si>
  <si>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</si>
  <si>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</si>
  <si>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</si>
  <si>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</si>
  <si>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</si>
  <si>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</si>
  <si>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</si>
  <si>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</si>
  <si>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</si>
  <si>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</si>
  <si>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</si>
  <si>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</si>
  <si>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</si>
  <si>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</si>
  <si>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</si>
  <si>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</si>
  <si>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</si>
  <si>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</si>
  <si>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</si>
  <si>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</si>
  <si>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</si>
  <si>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</si>
  <si>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</si>
  <si>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</si>
  <si>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</si>
  <si>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</si>
  <si>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</si>
  <si>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</si>
  <si>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</si>
  <si>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</si>
  <si>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</si>
  <si>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</si>
  <si>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</si>
  <si>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</si>
  <si>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</si>
  <si>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</si>
  <si>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</si>
  <si>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</si>
  <si>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</si>
  <si>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</si>
  <si>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</si>
  <si>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</si>
  <si>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</si>
  <si>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</si>
  <si>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</si>
  <si>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</si>
  <si>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</si>
  <si>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</si>
  <si>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</si>
  <si>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</si>
  <si>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</si>
  <si>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</si>
  <si>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</si>
  <si>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</si>
  <si>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</si>
  <si>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</si>
  <si>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</si>
  <si>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</si>
  <si>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</si>
  <si>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</si>
  <si>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</si>
  <si>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</si>
  <si>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</si>
  <si>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</si>
  <si>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</si>
  <si>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</si>
  <si>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</si>
  <si>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</si>
  <si>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</si>
  <si>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</si>
  <si>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</si>
  <si>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</si>
  <si>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</si>
  <si>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</si>
  <si>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</si>
  <si>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</si>
  <si>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</si>
  <si>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</si>
  <si>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</si>
  <si>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</si>
  <si>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</si>
  <si>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</si>
  <si>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</si>
  <si>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</si>
  <si>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</si>
  <si>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</si>
  <si>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</si>
  <si>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</si>
  <si>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</si>
  <si>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</si>
  <si>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</si>
  <si>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</si>
  <si>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</si>
  <si>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</si>
  <si>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</si>
  <si>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</si>
  <si>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</si>
  <si>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</si>
  <si>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</si>
  <si>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</si>
  <si>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</si>
  <si>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</si>
  <si>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</si>
  <si>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</si>
  <si>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</si>
  <si>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</si>
  <si>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</si>
  <si>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</si>
  <si>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</si>
  <si>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</si>
  <si>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</si>
  <si>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</si>
  <si>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</si>
  <si>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</si>
  <si>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</si>
  <si>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</si>
  <si>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</si>
  <si>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</si>
  <si>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</si>
  <si>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</si>
  <si>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</si>
  <si>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</si>
  <si>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</si>
  <si>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</si>
  <si>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</si>
  <si>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</si>
  <si>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</si>
  <si>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</si>
  <si>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</si>
  <si>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</si>
  <si>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</si>
  <si>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</si>
  <si>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</si>
  <si>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</si>
  <si>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</si>
  <si>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</si>
  <si>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</si>
  <si>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</si>
  <si>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</si>
  <si>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</si>
  <si>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</si>
  <si>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</si>
  <si>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</si>
  <si>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</si>
  <si>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</si>
  <si>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</si>
  <si>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</si>
  <si>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</si>
  <si>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</si>
  <si>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</si>
  <si>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</si>
  <si>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</si>
  <si>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</si>
  <si>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</si>
  <si>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</si>
  <si>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</si>
  <si>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</si>
  <si>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</si>
  <si>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</si>
  <si>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</si>
  <si>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</si>
  <si>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</si>
  <si>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</si>
  <si>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</si>
  <si>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</si>
  <si>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</si>
  <si>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</si>
  <si>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</si>
  <si>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</si>
  <si>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</si>
  <si>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</si>
  <si>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</si>
  <si>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</si>
  <si>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</si>
  <si>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</si>
  <si>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</si>
  <si>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</si>
  <si>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</si>
  <si>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</si>
  <si>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</si>
  <si>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</si>
  <si>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</si>
  <si>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</si>
  <si>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</si>
  <si>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</si>
  <si>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</si>
  <si>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</si>
  <si>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</si>
  <si>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</si>
  <si>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</si>
  <si>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</si>
  <si>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</si>
  <si>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</si>
  <si>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</si>
  <si>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</si>
  <si>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</si>
  <si>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</si>
  <si>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</si>
  <si>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</si>
  <si>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</si>
  <si>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</si>
  <si>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</si>
  <si>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</si>
  <si>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</si>
  <si>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</si>
  <si>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</si>
  <si>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</si>
  <si>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</si>
  <si>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</si>
  <si>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</si>
  <si>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</si>
  <si>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</si>
  <si>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</si>
  <si>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</si>
  <si>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</si>
  <si>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</si>
  <si>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</si>
  <si>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</si>
  <si>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</si>
  <si>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</si>
  <si>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</si>
  <si>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</si>
  <si>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</si>
  <si>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</si>
  <si>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</si>
  <si>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</si>
  <si>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</si>
  <si>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</si>
  <si>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</si>
  <si>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</si>
  <si>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</si>
  <si>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</si>
  <si>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</si>
  <si>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</si>
  <si>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</si>
  <si>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</si>
  <si>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</si>
  <si>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</si>
  <si>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</si>
  <si>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</si>
  <si>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</si>
  <si>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</si>
  <si>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</si>
  <si>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</si>
  <si>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</si>
  <si>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</si>
  <si>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</si>
  <si>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</si>
  <si>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</si>
  <si>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</si>
  <si>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</si>
  <si>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</si>
  <si>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</si>
  <si>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</si>
  <si>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</si>
  <si>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</si>
  <si>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</si>
  <si>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</si>
  <si>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</si>
  <si>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</si>
  <si>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</si>
  <si>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</si>
  <si>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</si>
  <si>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</si>
  <si>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</si>
  <si>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</si>
  <si>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</si>
  <si>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</si>
  <si>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</si>
  <si>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</si>
  <si>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</si>
  <si>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</si>
  <si>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</si>
  <si>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</si>
  <si>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</si>
  <si>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</si>
  <si>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</si>
  <si>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</si>
  <si>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</si>
  <si>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</si>
  <si>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</si>
  <si>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</si>
  <si>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</si>
  <si>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</si>
  <si>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</si>
  <si>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</si>
  <si>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</si>
  <si>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</si>
  <si>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</si>
  <si>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</si>
  <si>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</si>
  <si>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</si>
  <si>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</si>
  <si>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</si>
  <si>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</si>
  <si>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</si>
  <si>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</si>
  <si>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</si>
  <si>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</si>
  <si>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</si>
  <si>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</si>
  <si>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</si>
  <si>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</si>
  <si>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</si>
  <si>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</si>
  <si>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</si>
  <si>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</si>
  <si>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</si>
  <si>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</si>
  <si>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</si>
  <si>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</si>
  <si>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</si>
  <si>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</si>
  <si>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</si>
  <si>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</si>
  <si>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</si>
  <si>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</si>
  <si>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</si>
  <si>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</si>
  <si>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</si>
  <si>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</si>
  <si>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</si>
  <si>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</si>
  <si>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</si>
  <si>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</si>
  <si>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</si>
  <si>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</si>
  <si>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</si>
  <si>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</si>
  <si>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</si>
  <si>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</si>
  <si>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</si>
  <si>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</si>
  <si>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</si>
  <si>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</si>
  <si>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</si>
  <si>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</si>
  <si>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</si>
  <si>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</si>
  <si>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</si>
  <si>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</si>
  <si>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</si>
  <si>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</si>
  <si>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</si>
  <si>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</si>
  <si>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</si>
  <si>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</si>
  <si>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</si>
  <si>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</si>
  <si>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</si>
  <si>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</si>
  <si>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</si>
  <si>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</si>
  <si>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</si>
  <si>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</si>
  <si>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</si>
  <si>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</si>
  <si>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</si>
  <si>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</si>
  <si>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</si>
  <si>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</si>
  <si>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</si>
  <si>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</si>
  <si>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</si>
  <si>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</si>
  <si>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</si>
  <si>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</si>
  <si>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</si>
  <si>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</si>
  <si>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</si>
  <si>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</si>
  <si>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</si>
  <si>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</si>
  <si>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</si>
  <si>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</si>
  <si>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</si>
  <si>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</si>
  <si>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</si>
  <si>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</si>
  <si>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</si>
  <si>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</si>
  <si>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</si>
  <si>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</si>
  <si>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</si>
  <si>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</si>
  <si>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</si>
  <si>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</si>
  <si>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</si>
  <si>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</si>
  <si>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</si>
  <si>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</si>
  <si>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</si>
  <si>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</si>
  <si>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</si>
  <si>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</si>
  <si>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</si>
  <si>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</si>
  <si>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</si>
  <si>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</si>
  <si>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</si>
  <si>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</si>
  <si>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</si>
  <si>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</si>
  <si>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</si>
  <si>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</si>
  <si>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</si>
  <si>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</si>
  <si>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</si>
  <si>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</si>
  <si>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</si>
  <si>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</si>
  <si>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</si>
  <si>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</si>
  <si>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</si>
  <si>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</si>
  <si>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</si>
  <si>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</si>
  <si>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</si>
  <si>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</si>
  <si>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</si>
  <si>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</si>
  <si>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</si>
  <si>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</si>
  <si>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</si>
  <si>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</si>
  <si>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</si>
  <si>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</si>
  <si>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</si>
  <si>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</si>
  <si>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</si>
  <si>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</si>
  <si>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</si>
  <si>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</si>
  <si>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</si>
  <si>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</si>
  <si>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</si>
  <si>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</si>
  <si>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</si>
  <si>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</si>
  <si>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</si>
  <si>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</si>
  <si>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</si>
  <si>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</si>
  <si>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</si>
  <si>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</si>
  <si>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</si>
  <si>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</si>
  <si>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</si>
  <si>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</si>
  <si>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</si>
  <si>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</si>
  <si>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</si>
  <si>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</si>
  <si>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</si>
  <si>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</si>
  <si>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</si>
  <si>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</si>
  <si>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</si>
  <si>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</si>
  <si>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</si>
  <si>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</si>
  <si>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</si>
  <si>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</si>
  <si>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</si>
  <si>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</si>
  <si>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</si>
  <si>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</si>
  <si>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</si>
  <si>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</si>
  <si>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</si>
  <si>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</si>
  <si>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</si>
  <si>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</si>
  <si>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</si>
  <si>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</si>
  <si>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</si>
  <si>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</si>
  <si>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</si>
  <si>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</si>
  <si>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</si>
  <si>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</si>
  <si>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</si>
  <si>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</si>
  <si>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</si>
  <si>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</si>
  <si>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</si>
  <si>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</si>
  <si>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</si>
  <si>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</si>
  <si>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</si>
  <si>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</si>
  <si>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</si>
  <si>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</si>
  <si>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</si>
  <si>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</si>
  <si>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</si>
  <si>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</si>
  <si>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</si>
  <si>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</si>
  <si>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</si>
  <si>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</si>
  <si>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</si>
  <si>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</si>
  <si>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</si>
  <si>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</si>
  <si>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</si>
  <si>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</si>
  <si>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</si>
  <si>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</si>
  <si>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</si>
  <si>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</si>
  <si>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</si>
  <si>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</si>
  <si>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</si>
  <si>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</si>
  <si>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</si>
  <si>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</si>
  <si>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</si>
  <si>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</si>
  <si>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</si>
  <si>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</si>
  <si>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</si>
  <si>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</si>
  <si>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</si>
  <si>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</si>
  <si>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</si>
  <si>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</si>
  <si>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</si>
  <si>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</si>
  <si>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</si>
  <si>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</si>
  <si>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</si>
  <si>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</si>
  <si>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</si>
  <si>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</si>
  <si>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</si>
  <si>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</si>
  <si>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</si>
  <si>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</si>
  <si>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</si>
  <si>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</si>
  <si>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</si>
  <si>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</si>
  <si>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</si>
  <si>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</si>
  <si>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</si>
  <si>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</si>
  <si>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</si>
  <si>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</si>
  <si>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</si>
  <si>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</si>
  <si>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</si>
  <si>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</si>
  <si>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</si>
  <si>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</si>
  <si>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</si>
  <si>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</si>
  <si>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</si>
  <si>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</si>
  <si>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</si>
  <si>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</si>
  <si>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</si>
  <si>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</si>
  <si>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</si>
  <si>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</si>
  <si>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</si>
  <si>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</si>
  <si>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</si>
  <si>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</si>
  <si>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</si>
  <si>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</si>
  <si>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</si>
  <si>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</si>
  <si>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</si>
  <si>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</si>
  <si>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</si>
  <si>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</si>
  <si>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</si>
  <si>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</si>
  <si>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</si>
  <si>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</si>
  <si>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</si>
  <si>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</si>
  <si>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</si>
  <si>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</si>
  <si>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</si>
  <si>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</si>
  <si>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</si>
  <si>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</si>
  <si>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</si>
  <si>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</si>
  <si>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</si>
  <si>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</si>
  <si>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</si>
  <si>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</si>
  <si>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</si>
  <si>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</si>
  <si>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</si>
  <si>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</si>
  <si>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</si>
  <si>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</si>
  <si>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</si>
  <si>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</si>
  <si>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</si>
  <si>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</si>
  <si>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</si>
  <si>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</si>
  <si>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</si>
  <si>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</si>
  <si>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</si>
  <si>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</si>
  <si>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</si>
  <si>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</si>
  <si>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</si>
  <si>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</si>
  <si>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</si>
  <si>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</si>
  <si>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</si>
  <si>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</si>
  <si>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</si>
  <si>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</si>
  <si>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</si>
  <si>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</si>
  <si>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</si>
  <si>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</si>
  <si>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</si>
  <si>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</si>
  <si>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</si>
  <si>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</si>
  <si>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</si>
  <si>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</si>
  <si>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</si>
  <si>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</si>
  <si>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</si>
  <si>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</si>
  <si>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</si>
  <si>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</si>
  <si>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</si>
  <si>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</si>
  <si>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</si>
  <si>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</si>
  <si>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</si>
  <si>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</si>
  <si>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</si>
  <si>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</si>
  <si>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</si>
  <si>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</si>
  <si>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</si>
  <si>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</si>
  <si>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</si>
  <si>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</si>
  <si>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</si>
  <si>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</si>
  <si>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</si>
  <si>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</si>
  <si>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</si>
  <si>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</si>
  <si>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</si>
  <si>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</si>
  <si>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</si>
  <si>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</si>
  <si>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</si>
  <si>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</si>
  <si>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</si>
  <si>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</si>
  <si>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</si>
  <si>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</si>
  <si>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</si>
  <si>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</si>
  <si>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</si>
  <si>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</si>
  <si>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</si>
  <si>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</si>
  <si>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</si>
  <si>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</si>
  <si>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</si>
  <si>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</si>
  <si>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</si>
  <si>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</si>
  <si>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</si>
  <si>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</si>
  <si>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</si>
  <si>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</si>
  <si>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</si>
  <si>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</si>
  <si>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</si>
  <si>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</si>
  <si>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</si>
  <si>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</si>
  <si>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</si>
  <si>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</si>
  <si>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</si>
  <si>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</si>
  <si>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</si>
  <si>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</si>
  <si>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</si>
  <si>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</si>
  <si>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</si>
  <si>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</si>
  <si>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</si>
  <si>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</si>
  <si>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</si>
  <si>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</si>
  <si>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</si>
  <si>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</si>
  <si>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</si>
  <si>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</si>
  <si>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</si>
  <si>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</si>
  <si>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</si>
  <si>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</si>
  <si>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</si>
  <si>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</si>
  <si>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</si>
  <si>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</si>
  <si>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</si>
  <si>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</si>
  <si>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</si>
  <si>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</si>
  <si>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</si>
  <si>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</si>
  <si>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</si>
  <si>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</si>
  <si>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</si>
  <si>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</si>
  <si>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</si>
  <si>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</si>
  <si>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</si>
  <si>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</si>
  <si>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</si>
  <si>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</si>
  <si>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</si>
  <si>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</si>
  <si>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</si>
  <si>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</si>
  <si>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</si>
  <si>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</si>
  <si>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</si>
  <si>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</si>
  <si>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</si>
  <si>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</si>
  <si>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</si>
  <si>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</si>
  <si>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</si>
  <si>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</si>
  <si>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</si>
  <si>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</si>
  <si>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</si>
  <si>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</si>
  <si>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</si>
  <si>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</si>
  <si>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</si>
  <si>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</si>
  <si>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</si>
  <si>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</si>
  <si>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</si>
  <si>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</si>
  <si>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</si>
  <si>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</si>
  <si>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</si>
  <si>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</si>
  <si>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</si>
  <si>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</si>
  <si>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</si>
  <si>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</si>
  <si>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</si>
  <si>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</si>
  <si>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</si>
  <si>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</si>
  <si>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</si>
  <si>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</si>
  <si>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</si>
  <si>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</si>
  <si>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</si>
  <si>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</si>
  <si>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</si>
  <si>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</si>
  <si>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</si>
  <si>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</si>
  <si>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</si>
  <si>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</si>
  <si>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</si>
  <si>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</si>
  <si>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</si>
  <si>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</si>
  <si>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</si>
  <si>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</si>
  <si>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</si>
  <si>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</si>
  <si>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</si>
  <si>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</si>
  <si>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</si>
  <si>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</si>
  <si>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</si>
  <si>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</si>
  <si>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</si>
  <si>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</si>
  <si>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</si>
  <si>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</si>
  <si>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</si>
  <si>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</si>
  <si>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</si>
  <si>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</si>
  <si>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</si>
  <si>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</si>
  <si>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</si>
  <si>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</si>
  <si>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</si>
  <si>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</si>
  <si>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</si>
  <si>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</si>
  <si>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</si>
  <si>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</si>
  <si>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</si>
  <si>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</si>
  <si>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</si>
  <si>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</si>
  <si>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</si>
  <si>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</si>
  <si>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</si>
  <si>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</si>
  <si>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</si>
  <si>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</si>
  <si>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</si>
  <si>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</si>
  <si>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</si>
  <si>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</si>
  <si>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</si>
  <si>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</si>
  <si>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</si>
  <si>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</si>
  <si>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</si>
  <si>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</si>
  <si>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</si>
  <si>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</si>
  <si>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</si>
  <si>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</si>
  <si>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</si>
  <si>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</si>
  <si>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</si>
  <si>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</si>
  <si>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</si>
  <si>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</si>
  <si>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</si>
  <si>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</si>
  <si>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</si>
  <si>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</si>
  <si>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</si>
  <si>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</si>
  <si>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</si>
  <si>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</si>
  <si>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</si>
  <si>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</si>
  <si>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</si>
  <si>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</si>
  <si>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</si>
  <si>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</si>
  <si>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</si>
  <si>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</si>
  <si>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</si>
  <si>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</si>
  <si>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</si>
  <si>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</si>
  <si>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</si>
  <si>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</si>
  <si>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</si>
  <si>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</si>
  <si>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</si>
  <si>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</si>
  <si>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</si>
  <si>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</si>
  <si>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</si>
  <si>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</si>
  <si>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</si>
  <si>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</si>
  <si>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</si>
  <si>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</si>
  <si>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</si>
  <si>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</si>
  <si>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</si>
  <si>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</si>
  <si>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</si>
  <si>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</si>
  <si>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</si>
  <si>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</si>
  <si>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</si>
  <si>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</si>
  <si>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</si>
  <si>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</si>
  <si>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</si>
  <si>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</si>
  <si>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</si>
  <si>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</si>
  <si>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</si>
  <si>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</si>
  <si>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</si>
  <si>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</si>
  <si>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</si>
  <si>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</si>
  <si>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</si>
  <si>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</si>
  <si>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</si>
  <si>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</si>
  <si>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</si>
  <si>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</si>
  <si>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</si>
  <si>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</si>
  <si>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</si>
  <si>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</si>
  <si>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</si>
  <si>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</si>
  <si>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</si>
  <si>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</si>
  <si>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</si>
  <si>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</si>
  <si>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</si>
  <si>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</si>
  <si>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</si>
  <si>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</si>
  <si>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</si>
  <si>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</si>
  <si>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</si>
  <si>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</si>
  <si>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</si>
  <si>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</si>
  <si>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</si>
  <si>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</si>
  <si>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</si>
  <si>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</si>
  <si>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</si>
  <si>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</si>
  <si>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</si>
  <si>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</si>
  <si>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</si>
  <si>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</si>
  <si>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</si>
  <si>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</si>
  <si>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</si>
  <si>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</si>
  <si>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</si>
  <si>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</si>
  <si>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</si>
  <si>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</si>
  <si>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</si>
  <si>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</si>
  <si>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</si>
  <si>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</si>
  <si>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</si>
  <si>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</si>
  <si>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</si>
  <si>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</si>
  <si>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</si>
  <si>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</si>
  <si>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</si>
  <si>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</si>
  <si>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</si>
  <si>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</si>
  <si>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</si>
  <si>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</si>
  <si>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</si>
  <si>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</si>
  <si>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</si>
  <si>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</si>
  <si>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</si>
  <si>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</si>
  <si>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</si>
  <si>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</si>
  <si>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</si>
  <si>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</si>
  <si>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</si>
  <si>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</si>
  <si>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</si>
  <si>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</si>
  <si>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</si>
  <si>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</si>
  <si>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</si>
  <si>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</si>
  <si>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</si>
  <si>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</si>
  <si>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</si>
  <si>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</si>
  <si>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</si>
  <si>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</si>
  <si>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</si>
  <si>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</si>
  <si>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</si>
  <si>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</si>
  <si>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</si>
  <si>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</si>
  <si>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</si>
  <si>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</si>
  <si>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</si>
  <si>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</si>
  <si>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</si>
  <si>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</si>
  <si>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</si>
  <si>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</si>
  <si>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</si>
  <si>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</si>
  <si>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</si>
  <si>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</si>
  <si>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</si>
  <si>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</si>
  <si>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</si>
  <si>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</si>
  <si>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</si>
  <si>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</si>
  <si>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</si>
  <si>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Average Rating</t>
  </si>
  <si>
    <t>5* Calls</t>
  </si>
  <si>
    <t>Total Duration</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</si>
  <si>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</si>
  <si>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</si>
  <si>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</si>
  <si>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</si>
  <si>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</si>
  <si>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</si>
  <si>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</si>
  <si>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</si>
  <si>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</si>
  <si>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</si>
  <si>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</si>
  <si>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</si>
  <si>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</si>
  <si>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</si>
  <si>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</si>
  <si>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</si>
  <si>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</si>
  <si>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</si>
  <si>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</si>
  <si>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</si>
  <si>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</si>
  <si>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</si>
  <si>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</si>
  <si>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</si>
  <si>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</si>
  <si>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</si>
  <si>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 Calls</t>
  </si>
  <si>
    <t>Sel Amount</t>
  </si>
  <si>
    <t>Selected Rep</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</si>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</sst>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0,&quot;k&quot;"/>
  </numFmts>
  <fonts count="4"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s>
  <fills count="5">
    <fill>
      <patternFill patternType="none"/>
    </fill>
    <fill>
      <patternFill patternType="gray125"/>
    </fill>
    <fill>
      <patternFill patternType="solid">
        <fgColor theme="7"/>
        <bgColor indexed="64"/>
      </patternFill>
    </fill>
    <fill>
      <patternFill patternType="solid">
        <fgColor theme="0" tint="-4.9989318521683403E-2"/>
        <bgColor indexed="64"/>
      </patternFill>
    </fill>
    <fill>
      <patternFill patternType="solid">
        <fgColor theme="5"/>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8">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4" borderId="0" xfId="0" applyFill="1" applyAlignment="1">
      <alignment horizontal="left"/>
    </xf>
  </cellXfs>
  <cellStyles count="1">
    <cellStyle name="Normal" xfId="0" builtinId="0"/>
  </cellStyles>
  <dxfs count="2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bgColor theme="5"/>
        </patternFill>
      </fill>
    </dxf>
    <dxf>
      <fill>
        <patternFill patternType="solid">
          <bgColor theme="5"/>
        </patternFill>
      </fill>
    </dxf>
    <dxf>
      <fill>
        <patternFill patternType="solid">
          <bgColor theme="5"/>
        </patternFill>
      </fill>
    </dxf>
    <dxf>
      <font>
        <b/>
        <color theme="1"/>
      </font>
      <border>
        <bottom style="thin">
          <color theme="5"/>
        </bottom>
        <vertical/>
        <horizontal/>
      </border>
    </dxf>
    <dxf>
      <font>
        <color theme="1"/>
      </font>
      <border>
        <left style="thin">
          <color theme="5"/>
        </left>
        <right style="thin">
          <color theme="5"/>
        </right>
        <top style="thin">
          <color theme="5"/>
        </top>
        <bottom style="thin">
          <color theme="5"/>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19"/>
    </tableStyle>
    <tableStyle name="SlicerStyleLight2 2" pivot="0" table="0" count="10" xr9:uid="{C0FCB690-833A-42D7-AFD1-FC4D6FCB3281}">
      <tableStyleElement type="wholeTable" dxfId="18"/>
      <tableStyleElement type="headerRow"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b/>
            <i val="0"/>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0.14996795556505021"/>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tyles" Target="styles.xml"/><Relationship Id="rId25" Type="http://schemas.microsoft.com/office/2017/06/relationships/rdRichValue" Target="richData/rdrichvalue.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microsoft.com/office/2017/06/relationships/rdRichValueTypes" Target="richData/rdRichValueTypes.xml"/><Relationship Id="rId5" Type="http://schemas.openxmlformats.org/officeDocument/2006/relationships/pivotCacheDefinition" Target="pivotCache/pivotCacheDefinition1.xml"/><Relationship Id="rId15" Type="http://schemas.openxmlformats.org/officeDocument/2006/relationships/theme" Target="theme/theme1.xml"/><Relationship Id="rId23" Type="http://schemas.microsoft.com/office/2022/10/relationships/richValueRel" Target="richData/richValueRel.xml"/><Relationship Id="rId10" Type="http://schemas.openxmlformats.org/officeDocument/2006/relationships/pivotCacheDefinition" Target="pivotCache/pivotCacheDefinition6.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microsoft.com/office/2017/06/relationships/rdRichValueStructure" Target="richData/rdrichvaluestructur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[07.sample-data-excel-portfolio-project.xlsx]Pivots!Weekly Trend</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Pivots!$B$37</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Pivots!$A$38:$A$45</c:f>
              <c:strCache>
                <c:ptCount val="7"/>
                <c:pt idx="0">
                  <c:v>Sunday</c:v>
                </c:pt>
                <c:pt idx="1">
                  <c:v>Monday</c:v>
                </c:pt>
                <c:pt idx="2">
                  <c:v>Tuesday</c:v>
                </c:pt>
                <c:pt idx="3">
                  <c:v>Wednesday</c:v>
                </c:pt>
                <c:pt idx="4">
                  <c:v>Thursday</c:v>
                </c:pt>
                <c:pt idx="5">
                  <c:v>Friday</c:v>
                </c:pt>
                <c:pt idx="6">
                  <c:v>Saturday</c:v>
                </c:pt>
              </c:strCache>
            </c:strRef>
          </c:cat>
          <c:val>
            <c:numRef>
              <c:f>Pivots!$B$38:$B$45</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D129-466B-B60B-C38B4AF20142}"/>
            </c:ext>
          </c:extLst>
        </c:ser>
        <c:dLbls>
          <c:dLblPos val="outEnd"/>
          <c:showLegendKey val="0"/>
          <c:showVal val="1"/>
          <c:showCatName val="0"/>
          <c:showSerName val="0"/>
          <c:showPercent val="0"/>
          <c:showBubbleSize val="0"/>
        </c:dLbls>
        <c:gapWidth val="66"/>
        <c:axId val="557619032"/>
        <c:axId val="557626232"/>
      </c:barChart>
      <c:catAx>
        <c:axId val="5576190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26232"/>
        <c:crosses val="autoZero"/>
        <c:auto val="1"/>
        <c:lblAlgn val="ctr"/>
        <c:lblOffset val="100"/>
        <c:noMultiLvlLbl val="0"/>
      </c:catAx>
      <c:valAx>
        <c:axId val="557626232"/>
        <c:scaling>
          <c:orientation val="minMax"/>
        </c:scaling>
        <c:delete val="1"/>
        <c:axPos val="b"/>
        <c:numFmt formatCode="#,##0" sourceLinked="1"/>
        <c:majorTickMark val="out"/>
        <c:minorTickMark val="none"/>
        <c:tickLblPos val="nextTo"/>
        <c:crossAx val="557619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Call</a:t>
            </a:r>
            <a:r>
              <a:rPr lang="en-IN" b="1" baseline="0">
                <a:solidFill>
                  <a:srgbClr val="FF0000"/>
                </a:solidFill>
              </a:rPr>
              <a:t> Trends</a:t>
            </a:r>
            <a:endParaRPr lang="en-IN" b="1">
              <a:solidFill>
                <a:srgbClr val="FF0000"/>
              </a:solidFill>
            </a:endParaRPr>
          </a:p>
        </c:rich>
      </c:tx>
      <c:layout>
        <c:manualLayout>
          <c:xMode val="edge"/>
          <c:yMode val="edge"/>
          <c:x val="6.0416666666666667E-2"/>
          <c:y val="3.7037037037037035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00"/>
              </a:gs>
              <a:gs pos="100000">
                <a:schemeClr val="accent2">
                  <a:lumMod val="40000"/>
                  <a:lumOff val="60000"/>
                  <a:alpha val="5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5400">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Pivots!$C$19</c:f>
              <c:strCache>
                <c:ptCount val="1"/>
                <c:pt idx="0">
                  <c:v>Call Count2</c:v>
                </c:pt>
              </c:strCache>
            </c:strRef>
          </c:tx>
          <c:spPr>
            <a:gradFill>
              <a:gsLst>
                <a:gs pos="0">
                  <a:srgbClr val="FF0000"/>
                </a:gs>
                <a:gs pos="100000">
                  <a:schemeClr val="accent2">
                    <a:lumMod val="40000"/>
                    <a:lumOff val="60000"/>
                    <a:alpha val="50000"/>
                  </a:schemeClr>
                </a:gs>
              </a:gsLst>
              <a:lin ang="5400000" scaled="1"/>
            </a:gra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0-7EF5-4780-A904-897146F0F97A}"/>
            </c:ext>
          </c:extLst>
        </c:ser>
        <c:dLbls>
          <c:showLegendKey val="0"/>
          <c:showVal val="0"/>
          <c:showCatName val="0"/>
          <c:showSerName val="0"/>
          <c:showPercent val="0"/>
          <c:showBubbleSize val="0"/>
        </c:dLbls>
        <c:axId val="583888128"/>
        <c:axId val="583888848"/>
      </c:areaChart>
      <c:lineChart>
        <c:grouping val="standard"/>
        <c:varyColors val="0"/>
        <c:ser>
          <c:idx val="0"/>
          <c:order val="0"/>
          <c:tx>
            <c:strRef>
              <c:f>Pivots!$B$19</c:f>
              <c:strCache>
                <c:ptCount val="1"/>
                <c:pt idx="0">
                  <c:v>Call Count</c:v>
                </c:pt>
              </c:strCache>
            </c:strRef>
          </c:tx>
          <c:spPr>
            <a:ln w="28575" cap="rnd">
              <a:solidFill>
                <a:schemeClr val="accent6"/>
              </a:solidFill>
              <a:round/>
            </a:ln>
            <a:effectLst/>
          </c:spPr>
          <c:marker>
            <c:symbol val="circle"/>
            <c:size val="7"/>
            <c:spPr>
              <a:solidFill>
                <a:schemeClr val="bg1"/>
              </a:solidFill>
              <a:ln w="25400">
                <a:solidFill>
                  <a:schemeClr val="accent5"/>
                </a:solidFill>
              </a:ln>
              <a:effectLst/>
            </c:spPr>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1-7EF5-4780-A904-897146F0F97A}"/>
            </c:ext>
          </c:extLst>
        </c:ser>
        <c:dLbls>
          <c:showLegendKey val="0"/>
          <c:showVal val="0"/>
          <c:showCatName val="0"/>
          <c:showSerName val="0"/>
          <c:showPercent val="0"/>
          <c:showBubbleSize val="0"/>
        </c:dLbls>
        <c:marker val="1"/>
        <c:smooth val="0"/>
        <c:axId val="583888128"/>
        <c:axId val="583888848"/>
      </c:lineChart>
      <c:catAx>
        <c:axId val="5838881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88848"/>
        <c:crosses val="autoZero"/>
        <c:auto val="1"/>
        <c:lblAlgn val="ctr"/>
        <c:lblOffset val="100"/>
        <c:noMultiLvlLbl val="0"/>
      </c:catAx>
      <c:valAx>
        <c:axId val="583888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88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Calls</a:t>
            </a:r>
          </a:p>
        </c:rich>
      </c:tx>
      <c:layout>
        <c:manualLayout>
          <c:xMode val="edge"/>
          <c:yMode val="edge"/>
          <c:x val="6.5586338744693926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Pivots!$E$53:$E$57</c:f>
              <c:strCache>
                <c:ptCount val="5"/>
                <c:pt idx="0">
                  <c:v>R01</c:v>
                </c:pt>
                <c:pt idx="1">
                  <c:v>R02</c:v>
                </c:pt>
                <c:pt idx="2">
                  <c:v>R03</c:v>
                </c:pt>
                <c:pt idx="3">
                  <c:v>R04</c:v>
                </c:pt>
                <c:pt idx="4">
                  <c:v>R05</c:v>
                </c:pt>
              </c:strCache>
            </c:strRef>
          </c:cat>
          <c:val>
            <c:numRef>
              <c:f>Pivots!$F$53:$F$57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A304-45BB-83E9-06AC003F44B9}"/>
            </c:ext>
          </c:extLst>
        </c:ser>
        <c:ser>
          <c:idx val="1"/>
          <c:order val="1"/>
          <c:tx>
            <c:strRef>
              <c:f>Pivots!$H$52</c:f>
              <c:strCache>
                <c:ptCount val="1"/>
                <c:pt idx="0">
                  <c:v>Sel Calls</c:v>
                </c:pt>
              </c:strCache>
            </c:strRef>
          </c:tx>
          <c:spPr>
            <a:gradFill>
              <a:gsLst>
                <a:gs pos="16000">
                  <a:schemeClr val="accent2"/>
                </a:gs>
                <a:gs pos="100000">
                  <a:schemeClr val="accent2">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Pivots!$H$53:$H$57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1-A304-45BB-83E9-06AC003F44B9}"/>
            </c:ext>
          </c:extLst>
        </c:ser>
        <c:dLbls>
          <c:dLblPos val="outEnd"/>
          <c:showLegendKey val="0"/>
          <c:showVal val="1"/>
          <c:showCatName val="0"/>
          <c:showSerName val="0"/>
          <c:showPercent val="0"/>
          <c:showBubbleSize val="0"/>
        </c:dLbls>
        <c:gapWidth val="204"/>
        <c:overlap val="100"/>
        <c:axId val="557984640"/>
        <c:axId val="557608952"/>
      </c:barChart>
      <c:catAx>
        <c:axId val="557984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08952"/>
        <c:crosses val="autoZero"/>
        <c:auto val="1"/>
        <c:lblAlgn val="ctr"/>
        <c:lblOffset val="100"/>
        <c:noMultiLvlLbl val="0"/>
      </c:catAx>
      <c:valAx>
        <c:axId val="557608952"/>
        <c:scaling>
          <c:orientation val="minMax"/>
          <c:min val="0"/>
        </c:scaling>
        <c:delete val="1"/>
        <c:axPos val="t"/>
        <c:numFmt formatCode="General" sourceLinked="1"/>
        <c:majorTickMark val="none"/>
        <c:minorTickMark val="none"/>
        <c:tickLblPos val="nextTo"/>
        <c:crossAx val="5579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FF0000"/>
                </a:solidFill>
              </a:rPr>
              <a:t>Amount</a:t>
            </a:r>
          </a:p>
        </c:rich>
      </c:tx>
      <c:layout>
        <c:manualLayout>
          <c:xMode val="edge"/>
          <c:yMode val="edge"/>
          <c:x val="7.5620003606419406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Pivots!$E$53:$E$57</c:f>
              <c:strCache>
                <c:ptCount val="5"/>
                <c:pt idx="0">
                  <c:v>R01</c:v>
                </c:pt>
                <c:pt idx="1">
                  <c:v>R02</c:v>
                </c:pt>
                <c:pt idx="2">
                  <c:v>R03</c:v>
                </c:pt>
                <c:pt idx="3">
                  <c:v>R04</c:v>
                </c:pt>
                <c:pt idx="4">
                  <c:v>R05</c:v>
                </c:pt>
              </c:strCache>
            </c:strRef>
          </c:cat>
          <c:val>
            <c:numRef>
              <c:f>Pivots!$G$53:$G$57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6998-482D-BFF4-F86C8F1DD10F}"/>
            </c:ext>
          </c:extLst>
        </c:ser>
        <c:ser>
          <c:idx val="1"/>
          <c:order val="1"/>
          <c:tx>
            <c:strRef>
              <c:f>Pivots!$I$52</c:f>
              <c:strCache>
                <c:ptCount val="1"/>
                <c:pt idx="0">
                  <c:v>Sel Amount</c:v>
                </c:pt>
              </c:strCache>
            </c:strRef>
          </c:tx>
          <c:spPr>
            <a:gradFill>
              <a:gsLst>
                <a:gs pos="6000">
                  <a:schemeClr val="accent2"/>
                </a:gs>
                <a:gs pos="100000">
                  <a:schemeClr val="accent2">
                    <a:lumMod val="40000"/>
                    <a:lumOff val="60000"/>
                  </a:schemeClr>
                </a:gs>
              </a:gsLst>
              <a:lin ang="5400000" scaled="1"/>
            </a:gradFill>
            <a:ln>
              <a:noFill/>
            </a:ln>
            <a:effectLst/>
          </c:spPr>
          <c:invertIfNegative val="0"/>
          <c:val>
            <c:numRef>
              <c:f>Pivots!$I$53:$I$57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1-6998-482D-BFF4-F86C8F1DD10F}"/>
            </c:ext>
          </c:extLst>
        </c:ser>
        <c:dLbls>
          <c:showLegendKey val="0"/>
          <c:showVal val="0"/>
          <c:showCatName val="0"/>
          <c:showSerName val="0"/>
          <c:showPercent val="0"/>
          <c:showBubbleSize val="0"/>
        </c:dLbls>
        <c:gapWidth val="182"/>
        <c:overlap val="100"/>
        <c:axId val="557984640"/>
        <c:axId val="557608952"/>
      </c:barChart>
      <c:catAx>
        <c:axId val="557984640"/>
        <c:scaling>
          <c:orientation val="maxMin"/>
        </c:scaling>
        <c:delete val="1"/>
        <c:axPos val="l"/>
        <c:numFmt formatCode="General" sourceLinked="1"/>
        <c:majorTickMark val="none"/>
        <c:minorTickMark val="none"/>
        <c:tickLblPos val="nextTo"/>
        <c:crossAx val="557608952"/>
        <c:crosses val="autoZero"/>
        <c:auto val="1"/>
        <c:lblAlgn val="ctr"/>
        <c:lblOffset val="100"/>
        <c:noMultiLvlLbl val="0"/>
      </c:catAx>
      <c:valAx>
        <c:axId val="557608952"/>
        <c:scaling>
          <c:orientation val="minMax"/>
        </c:scaling>
        <c:delete val="1"/>
        <c:axPos val="t"/>
        <c:numFmt formatCode="\$#,###.0,&quot;k&quot;" sourceLinked="1"/>
        <c:majorTickMark val="none"/>
        <c:minorTickMark val="none"/>
        <c:tickLblPos val="nextTo"/>
        <c:crossAx val="5579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Male</a:t>
            </a:r>
            <a:r>
              <a:rPr lang="en-IN"/>
              <a:t> Vs </a:t>
            </a:r>
            <a:r>
              <a:rPr lang="en-IN" b="1">
                <a:solidFill>
                  <a:schemeClr val="accent2"/>
                </a:solidFill>
              </a:rPr>
              <a:t>Female</a:t>
            </a:r>
            <a:r>
              <a:rPr lang="en-IN"/>
              <a:t> Callers</a:t>
            </a:r>
          </a:p>
        </c:rich>
      </c:tx>
      <c:layout>
        <c:manualLayout>
          <c:xMode val="edge"/>
          <c:yMode val="edge"/>
          <c:x val="4.4484574868322045E-2"/>
          <c:y val="4.74576302854417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5">
              <a:lumMod val="75000"/>
            </a:schemeClr>
          </a:solidFill>
          <a:ln>
            <a:noFill/>
          </a:ln>
          <a:effectLst/>
        </c:spPr>
        <c:marker>
          <c:symbol val="none"/>
        </c:marker>
        <c:dLbl>
          <c:idx val="0"/>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Pivots!$B$73:$B$74</c:f>
              <c:strCache>
                <c:ptCount val="1"/>
                <c:pt idx="0">
                  <c:v>Female</c:v>
                </c:pt>
              </c:strCache>
            </c:strRef>
          </c:tx>
          <c:spPr>
            <a:solidFill>
              <a:schemeClr val="accent2"/>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Pivots!$A$75:$A$78</c:f>
              <c:strCache>
                <c:ptCount val="3"/>
                <c:pt idx="0">
                  <c:v>Cincinnati</c:v>
                </c:pt>
                <c:pt idx="1">
                  <c:v>Cleveland</c:v>
                </c:pt>
                <c:pt idx="2">
                  <c:v>Columbus</c:v>
                </c:pt>
              </c:strCache>
            </c:strRef>
          </c:cat>
          <c:val>
            <c:numRef>
              <c:f>Pivots!$B$75:$B$78</c:f>
              <c:numCache>
                <c:formatCode>#,##0</c:formatCode>
                <c:ptCount val="3"/>
                <c:pt idx="0">
                  <c:v>144</c:v>
                </c:pt>
                <c:pt idx="1">
                  <c:v>326</c:v>
                </c:pt>
                <c:pt idx="2">
                  <c:v>129</c:v>
                </c:pt>
              </c:numCache>
            </c:numRef>
          </c:val>
          <c:extLst>
            <c:ext xmlns:c16="http://schemas.microsoft.com/office/drawing/2014/chart" uri="{C3380CC4-5D6E-409C-BE32-E72D297353CC}">
              <c16:uniqueId val="{00000000-88C6-41ED-B274-6BBC19F10E0E}"/>
            </c:ext>
          </c:extLst>
        </c:ser>
        <c:ser>
          <c:idx val="1"/>
          <c:order val="1"/>
          <c:tx>
            <c:strRef>
              <c:f>Pivots!$C$73:$C$74</c:f>
              <c:strCache>
                <c:ptCount val="1"/>
                <c:pt idx="0">
                  <c:v>Male</c:v>
                </c:pt>
              </c:strCache>
            </c:strRef>
          </c:tx>
          <c:spPr>
            <a:solidFill>
              <a:schemeClr val="accent5">
                <a:lumMod val="75000"/>
              </a:schemeClr>
            </a:solidFill>
            <a:ln>
              <a:noFill/>
            </a:ln>
            <a:effectLst/>
          </c:spPr>
          <c:invertIfNegative val="0"/>
          <c:dLbls>
            <c:spPr>
              <a:solidFill>
                <a:schemeClr val="bg1">
                  <a:lumMod val="9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Pivots!$A$75:$A$78</c:f>
              <c:strCache>
                <c:ptCount val="3"/>
                <c:pt idx="0">
                  <c:v>Cincinnati</c:v>
                </c:pt>
                <c:pt idx="1">
                  <c:v>Cleveland</c:v>
                </c:pt>
                <c:pt idx="2">
                  <c:v>Columbus</c:v>
                </c:pt>
              </c:strCache>
            </c:strRef>
          </c:cat>
          <c:val>
            <c:numRef>
              <c:f>Pivots!$C$75:$C$78</c:f>
              <c:numCache>
                <c:formatCode>#,##0</c:formatCode>
                <c:ptCount val="3"/>
                <c:pt idx="0">
                  <c:v>132</c:v>
                </c:pt>
                <c:pt idx="1">
                  <c:v>63</c:v>
                </c:pt>
                <c:pt idx="2">
                  <c:v>206</c:v>
                </c:pt>
              </c:numCache>
            </c:numRef>
          </c:val>
          <c:extLst>
            <c:ext xmlns:c16="http://schemas.microsoft.com/office/drawing/2014/chart" uri="{C3380CC4-5D6E-409C-BE32-E72D297353CC}">
              <c16:uniqueId val="{00000001-88C6-41ED-B274-6BBC19F10E0E}"/>
            </c:ext>
          </c:extLst>
        </c:ser>
        <c:dLbls>
          <c:dLblPos val="ctr"/>
          <c:showLegendKey val="0"/>
          <c:showVal val="1"/>
          <c:showCatName val="0"/>
          <c:showSerName val="0"/>
          <c:showPercent val="0"/>
          <c:showBubbleSize val="0"/>
        </c:dLbls>
        <c:gapWidth val="30"/>
        <c:overlap val="100"/>
        <c:axId val="406810760"/>
        <c:axId val="406811120"/>
      </c:barChart>
      <c:catAx>
        <c:axId val="40681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1120"/>
        <c:crosses val="autoZero"/>
        <c:auto val="1"/>
        <c:lblAlgn val="ctr"/>
        <c:lblOffset val="100"/>
        <c:noMultiLvlLbl val="0"/>
      </c:catAx>
      <c:valAx>
        <c:axId val="406811120"/>
        <c:scaling>
          <c:orientation val="minMax"/>
        </c:scaling>
        <c:delete val="1"/>
        <c:axPos val="l"/>
        <c:numFmt formatCode="0%" sourceLinked="1"/>
        <c:majorTickMark val="none"/>
        <c:minorTickMark val="none"/>
        <c:tickLblPos val="nextTo"/>
        <c:crossAx val="406810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Pivots!$B$84</c:f>
              <c:strCache>
                <c:ptCount val="1"/>
                <c:pt idx="0">
                  <c:v>Total</c:v>
                </c:pt>
              </c:strCache>
            </c:strRef>
          </c:tx>
          <c:spPr>
            <a:solidFill>
              <a:schemeClr val="accent1"/>
            </a:solidFill>
            <a:ln>
              <a:noFill/>
            </a:ln>
            <a:effectLst/>
          </c:spPr>
          <c:invertIfNegative val="0"/>
          <c:cat>
            <c:strRef>
              <c:f>Pivots!$A$85:$A$90</c:f>
              <c:strCache>
                <c:ptCount val="5"/>
                <c:pt idx="0">
                  <c:v>1</c:v>
                </c:pt>
                <c:pt idx="1">
                  <c:v>2</c:v>
                </c:pt>
                <c:pt idx="2">
                  <c:v>3</c:v>
                </c:pt>
                <c:pt idx="3">
                  <c:v>4</c:v>
                </c:pt>
                <c:pt idx="4">
                  <c:v>5</c:v>
                </c:pt>
              </c:strCache>
            </c:strRef>
          </c:cat>
          <c:val>
            <c:numRef>
              <c:f>Pivots!$B$85:$B$90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6DAE-4A4B-9D14-5BAD3A664B17}"/>
            </c:ext>
          </c:extLst>
        </c:ser>
        <c:dLbls>
          <c:showLegendKey val="0"/>
          <c:showVal val="0"/>
          <c:showCatName val="0"/>
          <c:showSerName val="0"/>
          <c:showPercent val="0"/>
          <c:showBubbleSize val="0"/>
        </c:dLbls>
        <c:gapWidth val="45"/>
        <c:overlap val="-27"/>
        <c:axId val="791637672"/>
        <c:axId val="791638032"/>
      </c:barChart>
      <c:catAx>
        <c:axId val="79163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638032"/>
        <c:crosses val="autoZero"/>
        <c:auto val="1"/>
        <c:lblAlgn val="ctr"/>
        <c:lblOffset val="100"/>
        <c:noMultiLvlLbl val="0"/>
      </c:catAx>
      <c:valAx>
        <c:axId val="791638032"/>
        <c:scaling>
          <c:orientation val="minMax"/>
        </c:scaling>
        <c:delete val="1"/>
        <c:axPos val="l"/>
        <c:numFmt formatCode="#,##0" sourceLinked="1"/>
        <c:majorTickMark val="none"/>
        <c:minorTickMark val="none"/>
        <c:tickLblPos val="nextTo"/>
        <c:crossAx val="791637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2"/>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Pivots!$C$19</c:f>
              <c:strCache>
                <c:ptCount val="1"/>
                <c:pt idx="0">
                  <c:v>Call Count2</c:v>
                </c:pt>
              </c:strCache>
            </c:strRef>
          </c:tx>
          <c:spPr>
            <a:solidFill>
              <a:schemeClr val="accent2"/>
            </a:solidFill>
            <a:ln>
              <a:noFill/>
            </a:ln>
            <a:effectLst/>
          </c:spP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Pivots!$C$20:$C$32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extLst>
            <c:ext xmlns:c16="http://schemas.microsoft.com/office/drawing/2014/chart" uri="{C3380CC4-5D6E-409C-BE32-E72D297353CC}">
              <c16:uniqueId val="{00000002-CC63-4169-8041-B148330B2DE1}"/>
            </c:ext>
          </c:extLst>
        </c:ser>
        <c:dLbls>
          <c:showLegendKey val="0"/>
          <c:showVal val="0"/>
          <c:showCatName val="0"/>
          <c:showSerName val="0"/>
          <c:showPercent val="0"/>
          <c:showBubbleSize val="0"/>
        </c:dLbls>
        <c:axId val="583888128"/>
        <c:axId val="583888848"/>
      </c:areaChart>
      <c:lineChart>
        <c:grouping val="standard"/>
        <c:varyColors val="0"/>
        <c:ser>
          <c:idx val="0"/>
          <c:order val="0"/>
          <c:tx>
            <c:strRef>
              <c:f>Pivots!$B$19</c:f>
              <c:strCache>
                <c:ptCount val="1"/>
                <c:pt idx="0">
                  <c:v>Call 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Pivots!$A$20:$A$32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Pivots!$B$20:$B$32</c:f>
              <c:numCache>
                <c:formatCode>#,##0</c:formatCode>
                <c:ptCount val="12"/>
                <c:pt idx="0">
                  <c:v>16</c:v>
                </c:pt>
                <c:pt idx="1">
                  <c:v>14</c:v>
                </c:pt>
                <c:pt idx="2">
                  <c:v>26</c:v>
                </c:pt>
                <c:pt idx="3">
                  <c:v>29</c:v>
                </c:pt>
                <c:pt idx="4">
                  <c:v>17</c:v>
                </c:pt>
                <c:pt idx="5">
                  <c:v>15</c:v>
                </c:pt>
                <c:pt idx="6">
                  <c:v>15</c:v>
                </c:pt>
                <c:pt idx="7">
                  <c:v>7</c:v>
                </c:pt>
                <c:pt idx="8">
                  <c:v>11</c:v>
                </c:pt>
                <c:pt idx="9">
                  <c:v>24</c:v>
                </c:pt>
                <c:pt idx="10">
                  <c:v>9</c:v>
                </c:pt>
                <c:pt idx="11">
                  <c:v>6</c:v>
                </c:pt>
              </c:numCache>
            </c:numRef>
          </c:val>
          <c:smooth val="0"/>
          <c:extLst>
            <c:ext xmlns:c16="http://schemas.microsoft.com/office/drawing/2014/chart" uri="{C3380CC4-5D6E-409C-BE32-E72D297353CC}">
              <c16:uniqueId val="{00000000-CC63-4169-8041-B148330B2DE1}"/>
            </c:ext>
          </c:extLst>
        </c:ser>
        <c:dLbls>
          <c:showLegendKey val="0"/>
          <c:showVal val="0"/>
          <c:showCatName val="0"/>
          <c:showSerName val="0"/>
          <c:showPercent val="0"/>
          <c:showBubbleSize val="0"/>
        </c:dLbls>
        <c:marker val="1"/>
        <c:smooth val="0"/>
        <c:axId val="583888128"/>
        <c:axId val="583888848"/>
      </c:lineChart>
      <c:catAx>
        <c:axId val="583888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88848"/>
        <c:crosses val="autoZero"/>
        <c:auto val="1"/>
        <c:lblAlgn val="ctr"/>
        <c:lblOffset val="100"/>
        <c:noMultiLvlLbl val="0"/>
      </c:catAx>
      <c:valAx>
        <c:axId val="5838888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88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[07.sample-data-excel-portfolio-project.xlsx]Pivots!Weekly Trend</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Pivots!$B$37</c:f>
              <c:strCache>
                <c:ptCount val="1"/>
                <c:pt idx="0">
                  <c:v>Total</c:v>
                </c:pt>
              </c:strCache>
            </c:strRef>
          </c:tx>
          <c:spPr>
            <a:solidFill>
              <a:schemeClr val="accent1"/>
            </a:solidFill>
            <a:ln>
              <a:noFill/>
            </a:ln>
            <a:effectLst/>
          </c:spPr>
          <c:invertIfNegative val="0"/>
          <c:cat>
            <c:strRef>
              <c:f>Pivots!$A$38:$A$45</c:f>
              <c:strCache>
                <c:ptCount val="7"/>
                <c:pt idx="0">
                  <c:v>Sunday</c:v>
                </c:pt>
                <c:pt idx="1">
                  <c:v>Monday</c:v>
                </c:pt>
                <c:pt idx="2">
                  <c:v>Tuesday</c:v>
                </c:pt>
                <c:pt idx="3">
                  <c:v>Wednesday</c:v>
                </c:pt>
                <c:pt idx="4">
                  <c:v>Thursday</c:v>
                </c:pt>
                <c:pt idx="5">
                  <c:v>Friday</c:v>
                </c:pt>
                <c:pt idx="6">
                  <c:v>Saturday</c:v>
                </c:pt>
              </c:strCache>
            </c:strRef>
          </c:cat>
          <c:val>
            <c:numRef>
              <c:f>Pivots!$B$38:$B$45</c:f>
              <c:numCache>
                <c:formatCode>#,##0</c:formatCode>
                <c:ptCount val="7"/>
                <c:pt idx="0">
                  <c:v>36</c:v>
                </c:pt>
                <c:pt idx="1">
                  <c:v>30</c:v>
                </c:pt>
                <c:pt idx="2">
                  <c:v>13</c:v>
                </c:pt>
                <c:pt idx="3">
                  <c:v>23</c:v>
                </c:pt>
                <c:pt idx="4">
                  <c:v>23</c:v>
                </c:pt>
                <c:pt idx="5">
                  <c:v>24</c:v>
                </c:pt>
                <c:pt idx="6">
                  <c:v>40</c:v>
                </c:pt>
              </c:numCache>
            </c:numRef>
          </c:val>
          <c:extLst>
            <c:ext xmlns:c16="http://schemas.microsoft.com/office/drawing/2014/chart" uri="{C3380CC4-5D6E-409C-BE32-E72D297353CC}">
              <c16:uniqueId val="{00000000-A96A-45E8-9137-BAB9CE3B4F53}"/>
            </c:ext>
          </c:extLst>
        </c:ser>
        <c:dLbls>
          <c:showLegendKey val="0"/>
          <c:showVal val="0"/>
          <c:showCatName val="0"/>
          <c:showSerName val="0"/>
          <c:showPercent val="0"/>
          <c:showBubbleSize val="0"/>
        </c:dLbls>
        <c:gapWidth val="182"/>
        <c:axId val="557619032"/>
        <c:axId val="557626232"/>
      </c:barChart>
      <c:catAx>
        <c:axId val="557619032"/>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26232"/>
        <c:crosses val="autoZero"/>
        <c:auto val="1"/>
        <c:lblAlgn val="ctr"/>
        <c:lblOffset val="100"/>
        <c:noMultiLvlLbl val="0"/>
      </c:catAx>
      <c:valAx>
        <c:axId val="557626232"/>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19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Pivots!$E$53:$E$57</c:f>
              <c:strCache>
                <c:ptCount val="5"/>
                <c:pt idx="0">
                  <c:v>R01</c:v>
                </c:pt>
                <c:pt idx="1">
                  <c:v>R02</c:v>
                </c:pt>
                <c:pt idx="2">
                  <c:v>R03</c:v>
                </c:pt>
                <c:pt idx="3">
                  <c:v>R04</c:v>
                </c:pt>
                <c:pt idx="4">
                  <c:v>R05</c:v>
                </c:pt>
              </c:strCache>
            </c:strRef>
          </c:cat>
          <c:val>
            <c:numRef>
              <c:f>Pivots!$F$53:$F$57</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B67-47F6-8382-3EA7AE813DAF}"/>
            </c:ext>
          </c:extLst>
        </c:ser>
        <c:ser>
          <c:idx val="1"/>
          <c:order val="1"/>
          <c:tx>
            <c:strRef>
              <c:f>Pivots!$H$52</c:f>
              <c:strCache>
                <c:ptCount val="1"/>
                <c:pt idx="0">
                  <c:v>Sel Calls</c:v>
                </c:pt>
              </c:strCache>
            </c:strRef>
          </c:tx>
          <c:spPr>
            <a:gradFill>
              <a:gsLst>
                <a:gs pos="16000">
                  <a:schemeClr val="accent2"/>
                </a:gs>
                <a:gs pos="100000">
                  <a:schemeClr val="accent2">
                    <a:lumMod val="40000"/>
                    <a:lumOff val="6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Pivots!$H$53:$H$57</c:f>
              <c:numCache>
                <c:formatCode>General</c:formatCode>
                <c:ptCount val="5"/>
                <c:pt idx="0">
                  <c:v>189</c:v>
                </c:pt>
                <c:pt idx="1">
                  <c:v>#N/A</c:v>
                </c:pt>
                <c:pt idx="2">
                  <c:v>#N/A</c:v>
                </c:pt>
                <c:pt idx="3">
                  <c:v>#N/A</c:v>
                </c:pt>
                <c:pt idx="4">
                  <c:v>#N/A</c:v>
                </c:pt>
              </c:numCache>
            </c:numRef>
          </c:val>
          <c:extLst>
            <c:ext xmlns:c16="http://schemas.microsoft.com/office/drawing/2014/chart" uri="{C3380CC4-5D6E-409C-BE32-E72D297353CC}">
              <c16:uniqueId val="{00000000-6378-440A-96CA-4B8688329791}"/>
            </c:ext>
          </c:extLst>
        </c:ser>
        <c:dLbls>
          <c:dLblPos val="outEnd"/>
          <c:showLegendKey val="0"/>
          <c:showVal val="1"/>
          <c:showCatName val="0"/>
          <c:showSerName val="0"/>
          <c:showPercent val="0"/>
          <c:showBubbleSize val="0"/>
        </c:dLbls>
        <c:gapWidth val="204"/>
        <c:overlap val="100"/>
        <c:axId val="557984640"/>
        <c:axId val="557608952"/>
      </c:barChart>
      <c:catAx>
        <c:axId val="55798464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608952"/>
        <c:crosses val="autoZero"/>
        <c:auto val="1"/>
        <c:lblAlgn val="ctr"/>
        <c:lblOffset val="100"/>
        <c:noMultiLvlLbl val="0"/>
      </c:catAx>
      <c:valAx>
        <c:axId val="557608952"/>
        <c:scaling>
          <c:orientation val="minMax"/>
          <c:min val="0"/>
        </c:scaling>
        <c:delete val="1"/>
        <c:axPos val="t"/>
        <c:numFmt formatCode="General" sourceLinked="1"/>
        <c:majorTickMark val="none"/>
        <c:minorTickMark val="none"/>
        <c:tickLblPos val="nextTo"/>
        <c:crossAx val="5579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Pivots!$E$53:$E$57</c:f>
              <c:strCache>
                <c:ptCount val="5"/>
                <c:pt idx="0">
                  <c:v>R01</c:v>
                </c:pt>
                <c:pt idx="1">
                  <c:v>R02</c:v>
                </c:pt>
                <c:pt idx="2">
                  <c:v>R03</c:v>
                </c:pt>
                <c:pt idx="3">
                  <c:v>R04</c:v>
                </c:pt>
                <c:pt idx="4">
                  <c:v>R05</c:v>
                </c:pt>
              </c:strCache>
            </c:strRef>
          </c:cat>
          <c:val>
            <c:numRef>
              <c:f>Pivots!$G$53:$G$57</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1F5-4193-A101-6292DD2EA97C}"/>
            </c:ext>
          </c:extLst>
        </c:ser>
        <c:ser>
          <c:idx val="1"/>
          <c:order val="1"/>
          <c:tx>
            <c:strRef>
              <c:f>Pivots!$I$52</c:f>
              <c:strCache>
                <c:ptCount val="1"/>
                <c:pt idx="0">
                  <c:v>Sel Amount</c:v>
                </c:pt>
              </c:strCache>
            </c:strRef>
          </c:tx>
          <c:spPr>
            <a:gradFill>
              <a:gsLst>
                <a:gs pos="6000">
                  <a:schemeClr val="accent2"/>
                </a:gs>
                <a:gs pos="100000">
                  <a:schemeClr val="accent2">
                    <a:lumMod val="40000"/>
                    <a:lumOff val="60000"/>
                  </a:schemeClr>
                </a:gs>
              </a:gsLst>
              <a:lin ang="5400000" scaled="1"/>
            </a:gradFill>
            <a:ln>
              <a:noFill/>
            </a:ln>
            <a:effectLst/>
          </c:spPr>
          <c:invertIfNegative val="0"/>
          <c:val>
            <c:numRef>
              <c:f>Pivots!$I$53:$I$57</c:f>
              <c:numCache>
                <c:formatCode>General</c:formatCode>
                <c:ptCount val="5"/>
                <c:pt idx="0">
                  <c:v>18415</c:v>
                </c:pt>
                <c:pt idx="1">
                  <c:v>#N/A</c:v>
                </c:pt>
                <c:pt idx="2">
                  <c:v>#N/A</c:v>
                </c:pt>
                <c:pt idx="3">
                  <c:v>#N/A</c:v>
                </c:pt>
                <c:pt idx="4">
                  <c:v>#N/A</c:v>
                </c:pt>
              </c:numCache>
            </c:numRef>
          </c:val>
          <c:extLst>
            <c:ext xmlns:c16="http://schemas.microsoft.com/office/drawing/2014/chart" uri="{C3380CC4-5D6E-409C-BE32-E72D297353CC}">
              <c16:uniqueId val="{00000000-00B2-4C10-B1DB-CC0B9E1985C4}"/>
            </c:ext>
          </c:extLst>
        </c:ser>
        <c:dLbls>
          <c:showLegendKey val="0"/>
          <c:showVal val="0"/>
          <c:showCatName val="0"/>
          <c:showSerName val="0"/>
          <c:showPercent val="0"/>
          <c:showBubbleSize val="0"/>
        </c:dLbls>
        <c:gapWidth val="182"/>
        <c:overlap val="100"/>
        <c:axId val="557984640"/>
        <c:axId val="557608952"/>
      </c:barChart>
      <c:catAx>
        <c:axId val="557984640"/>
        <c:scaling>
          <c:orientation val="maxMin"/>
        </c:scaling>
        <c:delete val="1"/>
        <c:axPos val="l"/>
        <c:numFmt formatCode="General" sourceLinked="1"/>
        <c:majorTickMark val="none"/>
        <c:minorTickMark val="none"/>
        <c:tickLblPos val="nextTo"/>
        <c:crossAx val="557608952"/>
        <c:crosses val="autoZero"/>
        <c:auto val="1"/>
        <c:lblAlgn val="ctr"/>
        <c:lblOffset val="100"/>
        <c:noMultiLvlLbl val="0"/>
      </c:catAx>
      <c:valAx>
        <c:axId val="557608952"/>
        <c:scaling>
          <c:orientation val="minMax"/>
        </c:scaling>
        <c:delete val="1"/>
        <c:axPos val="t"/>
        <c:numFmt formatCode="\$#,###.0,&quot;k&quot;" sourceLinked="1"/>
        <c:majorTickMark val="none"/>
        <c:minorTickMark val="none"/>
        <c:tickLblPos val="nextTo"/>
        <c:crossAx val="55798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Pivots!$B$73:$B$74</c:f>
              <c:strCache>
                <c:ptCount val="1"/>
                <c:pt idx="0">
                  <c:v>Female</c:v>
                </c:pt>
              </c:strCache>
            </c:strRef>
          </c:tx>
          <c:spPr>
            <a:solidFill>
              <a:schemeClr val="accent1"/>
            </a:solidFill>
            <a:ln>
              <a:noFill/>
            </a:ln>
            <a:effectLst/>
          </c:spPr>
          <c:invertIfNegative val="0"/>
          <c:cat>
            <c:strRef>
              <c:f>Pivots!$A$75:$A$78</c:f>
              <c:strCache>
                <c:ptCount val="3"/>
                <c:pt idx="0">
                  <c:v>Cincinnati</c:v>
                </c:pt>
                <c:pt idx="1">
                  <c:v>Cleveland</c:v>
                </c:pt>
                <c:pt idx="2">
                  <c:v>Columbus</c:v>
                </c:pt>
              </c:strCache>
            </c:strRef>
          </c:cat>
          <c:val>
            <c:numRef>
              <c:f>Pivots!$B$75:$B$78</c:f>
              <c:numCache>
                <c:formatCode>#,##0</c:formatCode>
                <c:ptCount val="3"/>
                <c:pt idx="0">
                  <c:v>144</c:v>
                </c:pt>
                <c:pt idx="1">
                  <c:v>326</c:v>
                </c:pt>
                <c:pt idx="2">
                  <c:v>129</c:v>
                </c:pt>
              </c:numCache>
            </c:numRef>
          </c:val>
          <c:extLst>
            <c:ext xmlns:c16="http://schemas.microsoft.com/office/drawing/2014/chart" uri="{C3380CC4-5D6E-409C-BE32-E72D297353CC}">
              <c16:uniqueId val="{00000000-8A68-4EBE-A8B8-CFB2DE784D54}"/>
            </c:ext>
          </c:extLst>
        </c:ser>
        <c:ser>
          <c:idx val="1"/>
          <c:order val="1"/>
          <c:tx>
            <c:strRef>
              <c:f>Pivots!$C$73:$C$74</c:f>
              <c:strCache>
                <c:ptCount val="1"/>
                <c:pt idx="0">
                  <c:v>Male</c:v>
                </c:pt>
              </c:strCache>
            </c:strRef>
          </c:tx>
          <c:spPr>
            <a:solidFill>
              <a:schemeClr val="accent2"/>
            </a:solidFill>
            <a:ln>
              <a:noFill/>
            </a:ln>
            <a:effectLst/>
          </c:spPr>
          <c:invertIfNegative val="0"/>
          <c:cat>
            <c:strRef>
              <c:f>Pivots!$A$75:$A$78</c:f>
              <c:strCache>
                <c:ptCount val="3"/>
                <c:pt idx="0">
                  <c:v>Cincinnati</c:v>
                </c:pt>
                <c:pt idx="1">
                  <c:v>Cleveland</c:v>
                </c:pt>
                <c:pt idx="2">
                  <c:v>Columbus</c:v>
                </c:pt>
              </c:strCache>
            </c:strRef>
          </c:cat>
          <c:val>
            <c:numRef>
              <c:f>Pivots!$C$75:$C$78</c:f>
              <c:numCache>
                <c:formatCode>#,##0</c:formatCode>
                <c:ptCount val="3"/>
                <c:pt idx="0">
                  <c:v>132</c:v>
                </c:pt>
                <c:pt idx="1">
                  <c:v>63</c:v>
                </c:pt>
                <c:pt idx="2">
                  <c:v>206</c:v>
                </c:pt>
              </c:numCache>
            </c:numRef>
          </c:val>
          <c:extLst>
            <c:ext xmlns:c16="http://schemas.microsoft.com/office/drawing/2014/chart" uri="{C3380CC4-5D6E-409C-BE32-E72D297353CC}">
              <c16:uniqueId val="{00000001-8A68-4EBE-A8B8-CFB2DE784D54}"/>
            </c:ext>
          </c:extLst>
        </c:ser>
        <c:dLbls>
          <c:showLegendKey val="0"/>
          <c:showVal val="0"/>
          <c:showCatName val="0"/>
          <c:showSerName val="0"/>
          <c:showPercent val="0"/>
          <c:showBubbleSize val="0"/>
        </c:dLbls>
        <c:gapWidth val="150"/>
        <c:overlap val="100"/>
        <c:axId val="406810760"/>
        <c:axId val="406811120"/>
      </c:barChart>
      <c:catAx>
        <c:axId val="40681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1120"/>
        <c:crosses val="autoZero"/>
        <c:auto val="1"/>
        <c:lblAlgn val="ctr"/>
        <c:lblOffset val="100"/>
        <c:noMultiLvlLbl val="0"/>
      </c:catAx>
      <c:valAx>
        <c:axId val="4068111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681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Pivots!$B$84</c:f>
              <c:strCache>
                <c:ptCount val="1"/>
                <c:pt idx="0">
                  <c:v>Total</c:v>
                </c:pt>
              </c:strCache>
            </c:strRef>
          </c:tx>
          <c:spPr>
            <a:solidFill>
              <a:schemeClr val="accent1"/>
            </a:solidFill>
            <a:ln>
              <a:noFill/>
            </a:ln>
            <a:effectLst/>
          </c:spPr>
          <c:invertIfNegative val="0"/>
          <c:cat>
            <c:strRef>
              <c:f>Pivots!$A$85:$A$90</c:f>
              <c:strCache>
                <c:ptCount val="5"/>
                <c:pt idx="0">
                  <c:v>1</c:v>
                </c:pt>
                <c:pt idx="1">
                  <c:v>2</c:v>
                </c:pt>
                <c:pt idx="2">
                  <c:v>3</c:v>
                </c:pt>
                <c:pt idx="3">
                  <c:v>4</c:v>
                </c:pt>
                <c:pt idx="4">
                  <c:v>5</c:v>
                </c:pt>
              </c:strCache>
            </c:strRef>
          </c:cat>
          <c:val>
            <c:numRef>
              <c:f>Pivots!$B$85:$B$90</c:f>
              <c:numCache>
                <c:formatCode>#,##0</c:formatCode>
                <c:ptCount val="5"/>
                <c:pt idx="0">
                  <c:v>1</c:v>
                </c:pt>
                <c:pt idx="1">
                  <c:v>9</c:v>
                </c:pt>
                <c:pt idx="2">
                  <c:v>31</c:v>
                </c:pt>
                <c:pt idx="3">
                  <c:v>88</c:v>
                </c:pt>
                <c:pt idx="4">
                  <c:v>60</c:v>
                </c:pt>
              </c:numCache>
            </c:numRef>
          </c:val>
          <c:extLst>
            <c:ext xmlns:c16="http://schemas.microsoft.com/office/drawing/2014/chart" uri="{C3380CC4-5D6E-409C-BE32-E72D297353CC}">
              <c16:uniqueId val="{00000000-F6B6-4734-BE1F-736C887B30D8}"/>
            </c:ext>
          </c:extLst>
        </c:ser>
        <c:dLbls>
          <c:showLegendKey val="0"/>
          <c:showVal val="0"/>
          <c:showCatName val="0"/>
          <c:showSerName val="0"/>
          <c:showPercent val="0"/>
          <c:showBubbleSize val="0"/>
        </c:dLbls>
        <c:gapWidth val="219"/>
        <c:overlap val="-27"/>
        <c:axId val="791637672"/>
        <c:axId val="791638032"/>
      </c:barChart>
      <c:catAx>
        <c:axId val="791637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638032"/>
        <c:crosses val="autoZero"/>
        <c:auto val="1"/>
        <c:lblAlgn val="ctr"/>
        <c:lblOffset val="100"/>
        <c:noMultiLvlLbl val="0"/>
      </c:catAx>
      <c:valAx>
        <c:axId val="7916380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1637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chart" Target="../charts/chart3.xml"/><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chart" Target="../charts/chart2.xml"/><Relationship Id="rId2" Type="http://schemas.openxmlformats.org/officeDocument/2006/relationships/image" Target="../media/image14.svg"/><Relationship Id="rId16" Type="http://schemas.openxmlformats.org/officeDocument/2006/relationships/chart" Target="../charts/chart6.xml"/><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chart" Target="../charts/chart1.xml"/><Relationship Id="rId5" Type="http://schemas.openxmlformats.org/officeDocument/2006/relationships/image" Target="../media/image17.png"/><Relationship Id="rId15" Type="http://schemas.openxmlformats.org/officeDocument/2006/relationships/chart" Target="../charts/chart5.xml"/><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xdr:colOff>
      <xdr:row>3</xdr:row>
      <xdr:rowOff>6350</xdr:rowOff>
    </xdr:from>
    <xdr:to>
      <xdr:col>3</xdr:col>
      <xdr:colOff>165100</xdr:colOff>
      <xdr:row>6</xdr:row>
      <xdr:rowOff>177800</xdr:rowOff>
    </xdr:to>
    <xdr:sp macro="" textlink="Pivots!A4">
      <xdr:nvSpPr>
        <xdr:cNvPr id="2" name="Rectangle 1">
          <a:extLst>
            <a:ext uri="{FF2B5EF4-FFF2-40B4-BE49-F238E27FC236}">
              <a16:creationId xmlns:a16="http://schemas.microsoft.com/office/drawing/2014/main" id="{85C3AC45-3AB2-089F-99FB-2044EF053DE7}"/>
            </a:ext>
          </a:extLst>
        </xdr:cNvPr>
        <xdr:cNvSpPr/>
      </xdr:nvSpPr>
      <xdr:spPr>
        <a:xfrm>
          <a:off x="692150" y="558800"/>
          <a:ext cx="1454150" cy="723900"/>
        </a:xfrm>
        <a:prstGeom prst="rect">
          <a:avLst/>
        </a:prstGeom>
        <a:solidFill>
          <a:srgbClr val="FF0000"/>
        </a:solid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DEA7209-5A3D-4B89-844A-EF826BDA3F81}" type="TxLink">
            <a:rPr lang="en-US" sz="1800" b="1" i="0" u="none" strike="noStrike">
              <a:solidFill>
                <a:schemeClr val="bg1"/>
              </a:solidFill>
              <a:latin typeface="+mj-lt"/>
            </a:rPr>
            <a:pPr algn="ctr"/>
            <a:t>1,000</a:t>
          </a:fld>
          <a:endParaRPr lang="en-IN" sz="1800" b="1">
            <a:solidFill>
              <a:schemeClr val="bg1"/>
            </a:solidFill>
            <a:latin typeface="+mj-lt"/>
          </a:endParaRPr>
        </a:p>
      </xdr:txBody>
    </xdr:sp>
    <xdr:clientData/>
  </xdr:twoCellAnchor>
  <xdr:twoCellAnchor>
    <xdr:from>
      <xdr:col>1</xdr:col>
      <xdr:colOff>349250</xdr:colOff>
      <xdr:row>3</xdr:row>
      <xdr:rowOff>38100</xdr:rowOff>
    </xdr:from>
    <xdr:to>
      <xdr:col>2</xdr:col>
      <xdr:colOff>469900</xdr:colOff>
      <xdr:row>4</xdr:row>
      <xdr:rowOff>31750</xdr:rowOff>
    </xdr:to>
    <xdr:sp macro="" textlink="">
      <xdr:nvSpPr>
        <xdr:cNvPr id="3" name="TextBox 2">
          <a:extLst>
            <a:ext uri="{FF2B5EF4-FFF2-40B4-BE49-F238E27FC236}">
              <a16:creationId xmlns:a16="http://schemas.microsoft.com/office/drawing/2014/main" id="{8AAB6C5D-CB33-276C-5599-DAC5FDA8F908}"/>
            </a:ext>
          </a:extLst>
        </xdr:cNvPr>
        <xdr:cNvSpPr txBox="1"/>
      </xdr:nvSpPr>
      <xdr:spPr>
        <a:xfrm>
          <a:off x="1009650" y="590550"/>
          <a:ext cx="781050" cy="1778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Calls</a:t>
          </a:r>
        </a:p>
      </xdr:txBody>
    </xdr:sp>
    <xdr:clientData/>
  </xdr:twoCellAnchor>
  <xdr:twoCellAnchor editAs="oneCell">
    <xdr:from>
      <xdr:col>1</xdr:col>
      <xdr:colOff>114300</xdr:colOff>
      <xdr:row>3</xdr:row>
      <xdr:rowOff>38101</xdr:rowOff>
    </xdr:from>
    <xdr:to>
      <xdr:col>1</xdr:col>
      <xdr:colOff>349250</xdr:colOff>
      <xdr:row>4</xdr:row>
      <xdr:rowOff>79401</xdr:rowOff>
    </xdr:to>
    <xdr:pic>
      <xdr:nvPicPr>
        <xdr:cNvPr id="4" name="Graphic 3" descr="Receiver with solid fill">
          <a:extLst>
            <a:ext uri="{FF2B5EF4-FFF2-40B4-BE49-F238E27FC236}">
              <a16:creationId xmlns:a16="http://schemas.microsoft.com/office/drawing/2014/main" id="{A975C72F-8997-48EC-ACC0-7163190128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4700" y="590551"/>
          <a:ext cx="234950" cy="225450"/>
        </a:xfrm>
        <a:prstGeom prst="rect">
          <a:avLst/>
        </a:prstGeom>
      </xdr:spPr>
    </xdr:pic>
    <xdr:clientData/>
  </xdr:twoCellAnchor>
  <xdr:twoCellAnchor>
    <xdr:from>
      <xdr:col>1</xdr:col>
      <xdr:colOff>425450</xdr:colOff>
      <xdr:row>5</xdr:row>
      <xdr:rowOff>120650</xdr:rowOff>
    </xdr:from>
    <xdr:to>
      <xdr:col>2</xdr:col>
      <xdr:colOff>431800</xdr:colOff>
      <xdr:row>6</xdr:row>
      <xdr:rowOff>107950</xdr:rowOff>
    </xdr:to>
    <xdr:sp macro="" textlink="Pivots!A10">
      <xdr:nvSpPr>
        <xdr:cNvPr id="5" name="Rectangle 4">
          <a:extLst>
            <a:ext uri="{FF2B5EF4-FFF2-40B4-BE49-F238E27FC236}">
              <a16:creationId xmlns:a16="http://schemas.microsoft.com/office/drawing/2014/main" id="{EFD21376-0DF7-339D-4AA4-27B457871910}"/>
            </a:ext>
          </a:extLst>
        </xdr:cNvPr>
        <xdr:cNvSpPr/>
      </xdr:nvSpPr>
      <xdr:spPr>
        <a:xfrm>
          <a:off x="1085850" y="1041400"/>
          <a:ext cx="666750" cy="17145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5D6F08D-4EF0-46CA-9368-E19F7EC7EADF}" type="TxLink">
            <a:rPr lang="en-US" sz="1100" b="1" i="0" u="none" strike="noStrike">
              <a:solidFill>
                <a:schemeClr val="bg1"/>
              </a:solidFill>
              <a:latin typeface="Aptos"/>
            </a:rPr>
            <a:pPr algn="ctr"/>
            <a:t>189</a:t>
          </a:fld>
          <a:endParaRPr lang="en-IN" sz="1100" b="1">
            <a:solidFill>
              <a:schemeClr val="bg1"/>
            </a:solidFill>
          </a:endParaRPr>
        </a:p>
      </xdr:txBody>
    </xdr:sp>
    <xdr:clientData/>
  </xdr:twoCellAnchor>
  <xdr:twoCellAnchor>
    <xdr:from>
      <xdr:col>1</xdr:col>
      <xdr:colOff>0</xdr:colOff>
      <xdr:row>9</xdr:row>
      <xdr:rowOff>0</xdr:rowOff>
    </xdr:from>
    <xdr:to>
      <xdr:col>3</xdr:col>
      <xdr:colOff>133350</xdr:colOff>
      <xdr:row>12</xdr:row>
      <xdr:rowOff>171450</xdr:rowOff>
    </xdr:to>
    <xdr:sp macro="" textlink="Pivots!B4">
      <xdr:nvSpPr>
        <xdr:cNvPr id="6" name="Rectangle 5">
          <a:extLst>
            <a:ext uri="{FF2B5EF4-FFF2-40B4-BE49-F238E27FC236}">
              <a16:creationId xmlns:a16="http://schemas.microsoft.com/office/drawing/2014/main" id="{A723DB45-8421-4763-AEEB-4A4BF57CD194}"/>
            </a:ext>
          </a:extLst>
        </xdr:cNvPr>
        <xdr:cNvSpPr/>
      </xdr:nvSpPr>
      <xdr:spPr>
        <a:xfrm>
          <a:off x="660400" y="1657350"/>
          <a:ext cx="1454150" cy="723900"/>
        </a:xfrm>
        <a:prstGeom prst="rect">
          <a:avLst/>
        </a:prstGeom>
        <a:solidFill>
          <a:srgbClr val="FF0000"/>
        </a:solid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36CEDD8-7E9C-4530-9E3A-96AB5471758D}" type="TxLink">
            <a:rPr lang="en-US" sz="1800" b="1" i="0" u="none" strike="noStrike">
              <a:solidFill>
                <a:schemeClr val="bg1"/>
              </a:solidFill>
              <a:latin typeface="Aptos"/>
            </a:rPr>
            <a:pPr algn="ctr"/>
            <a:t>$96,623</a:t>
          </a:fld>
          <a:endParaRPr lang="en-IN" sz="3200" b="1">
            <a:solidFill>
              <a:schemeClr val="bg1"/>
            </a:solidFill>
            <a:latin typeface="+mj-lt"/>
          </a:endParaRPr>
        </a:p>
      </xdr:txBody>
    </xdr:sp>
    <xdr:clientData/>
  </xdr:twoCellAnchor>
  <xdr:twoCellAnchor>
    <xdr:from>
      <xdr:col>1</xdr:col>
      <xdr:colOff>317500</xdr:colOff>
      <xdr:row>9</xdr:row>
      <xdr:rowOff>31750</xdr:rowOff>
    </xdr:from>
    <xdr:to>
      <xdr:col>2</xdr:col>
      <xdr:colOff>438150</xdr:colOff>
      <xdr:row>10</xdr:row>
      <xdr:rowOff>25400</xdr:rowOff>
    </xdr:to>
    <xdr:sp macro="" textlink="">
      <xdr:nvSpPr>
        <xdr:cNvPr id="7" name="TextBox 6">
          <a:extLst>
            <a:ext uri="{FF2B5EF4-FFF2-40B4-BE49-F238E27FC236}">
              <a16:creationId xmlns:a16="http://schemas.microsoft.com/office/drawing/2014/main" id="{BB16A196-30DB-44D1-8947-73655CFEF143}"/>
            </a:ext>
          </a:extLst>
        </xdr:cNvPr>
        <xdr:cNvSpPr txBox="1"/>
      </xdr:nvSpPr>
      <xdr:spPr>
        <a:xfrm>
          <a:off x="977900" y="1689100"/>
          <a:ext cx="781050" cy="1778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Amount</a:t>
          </a:r>
        </a:p>
      </xdr:txBody>
    </xdr:sp>
    <xdr:clientData/>
  </xdr:twoCellAnchor>
  <xdr:twoCellAnchor>
    <xdr:from>
      <xdr:col>1</xdr:col>
      <xdr:colOff>393700</xdr:colOff>
      <xdr:row>11</xdr:row>
      <xdr:rowOff>114300</xdr:rowOff>
    </xdr:from>
    <xdr:to>
      <xdr:col>2</xdr:col>
      <xdr:colOff>400050</xdr:colOff>
      <xdr:row>12</xdr:row>
      <xdr:rowOff>101600</xdr:rowOff>
    </xdr:to>
    <xdr:sp macro="" textlink="Pivots!B10">
      <xdr:nvSpPr>
        <xdr:cNvPr id="9" name="Rectangle 8">
          <a:extLst>
            <a:ext uri="{FF2B5EF4-FFF2-40B4-BE49-F238E27FC236}">
              <a16:creationId xmlns:a16="http://schemas.microsoft.com/office/drawing/2014/main" id="{F5D93BA6-C209-4B74-B3BD-DE4BD3E6E2F5}"/>
            </a:ext>
          </a:extLst>
        </xdr:cNvPr>
        <xdr:cNvSpPr/>
      </xdr:nvSpPr>
      <xdr:spPr>
        <a:xfrm>
          <a:off x="1054100" y="2139950"/>
          <a:ext cx="666750" cy="17145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F1167E7-8BFC-481C-B26B-D2F573627B9D}" type="TxLink">
            <a:rPr lang="en-US" sz="1100" b="0" i="0" u="none" strike="noStrike">
              <a:solidFill>
                <a:schemeClr val="bg1"/>
              </a:solidFill>
              <a:latin typeface="Aptos"/>
            </a:rPr>
            <a:pPr algn="ctr"/>
            <a:t>$18,415</a:t>
          </a:fld>
          <a:endParaRPr lang="en-IN" sz="1100" b="1">
            <a:solidFill>
              <a:schemeClr val="bg1"/>
            </a:solidFill>
          </a:endParaRPr>
        </a:p>
      </xdr:txBody>
    </xdr:sp>
    <xdr:clientData/>
  </xdr:twoCellAnchor>
  <xdr:twoCellAnchor>
    <xdr:from>
      <xdr:col>1</xdr:col>
      <xdr:colOff>0</xdr:colOff>
      <xdr:row>15</xdr:row>
      <xdr:rowOff>0</xdr:rowOff>
    </xdr:from>
    <xdr:to>
      <xdr:col>3</xdr:col>
      <xdr:colOff>133350</xdr:colOff>
      <xdr:row>18</xdr:row>
      <xdr:rowOff>171450</xdr:rowOff>
    </xdr:to>
    <xdr:sp macro="" textlink="Pivots!E4">
      <xdr:nvSpPr>
        <xdr:cNvPr id="10" name="Rectangle 9">
          <a:extLst>
            <a:ext uri="{FF2B5EF4-FFF2-40B4-BE49-F238E27FC236}">
              <a16:creationId xmlns:a16="http://schemas.microsoft.com/office/drawing/2014/main" id="{B88AF291-1FF9-4E9B-B83D-847D5F34A0EA}"/>
            </a:ext>
          </a:extLst>
        </xdr:cNvPr>
        <xdr:cNvSpPr/>
      </xdr:nvSpPr>
      <xdr:spPr>
        <a:xfrm>
          <a:off x="660400" y="2762250"/>
          <a:ext cx="1454150" cy="723900"/>
        </a:xfrm>
        <a:prstGeom prst="rect">
          <a:avLst/>
        </a:prstGeom>
        <a:solidFill>
          <a:srgbClr val="FF0000"/>
        </a:solid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AD9F808-7320-417A-A557-2BAE23E36992}" type="TxLink">
            <a:rPr lang="en-US" sz="1800" b="1" i="0" u="none" strike="noStrike">
              <a:solidFill>
                <a:schemeClr val="bg1"/>
              </a:solidFill>
              <a:latin typeface="Aptos"/>
            </a:rPr>
            <a:pPr algn="ctr"/>
            <a:t>89,850</a:t>
          </a:fld>
          <a:endParaRPr lang="en-IN" sz="3200" b="1">
            <a:solidFill>
              <a:schemeClr val="bg1"/>
            </a:solidFill>
            <a:latin typeface="+mj-lt"/>
          </a:endParaRPr>
        </a:p>
      </xdr:txBody>
    </xdr:sp>
    <xdr:clientData/>
  </xdr:twoCellAnchor>
  <xdr:twoCellAnchor>
    <xdr:from>
      <xdr:col>1</xdr:col>
      <xdr:colOff>317500</xdr:colOff>
      <xdr:row>15</xdr:row>
      <xdr:rowOff>31750</xdr:rowOff>
    </xdr:from>
    <xdr:to>
      <xdr:col>2</xdr:col>
      <xdr:colOff>438150</xdr:colOff>
      <xdr:row>16</xdr:row>
      <xdr:rowOff>25400</xdr:rowOff>
    </xdr:to>
    <xdr:sp macro="" textlink="">
      <xdr:nvSpPr>
        <xdr:cNvPr id="11" name="TextBox 10">
          <a:extLst>
            <a:ext uri="{FF2B5EF4-FFF2-40B4-BE49-F238E27FC236}">
              <a16:creationId xmlns:a16="http://schemas.microsoft.com/office/drawing/2014/main" id="{6809F750-3497-477F-87D5-D0C8105E229F}"/>
            </a:ext>
          </a:extLst>
        </xdr:cNvPr>
        <xdr:cNvSpPr txBox="1"/>
      </xdr:nvSpPr>
      <xdr:spPr>
        <a:xfrm>
          <a:off x="977900" y="2794000"/>
          <a:ext cx="781050" cy="1778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Duration</a:t>
          </a:r>
        </a:p>
      </xdr:txBody>
    </xdr:sp>
    <xdr:clientData/>
  </xdr:twoCellAnchor>
  <xdr:twoCellAnchor>
    <xdr:from>
      <xdr:col>1</xdr:col>
      <xdr:colOff>393700</xdr:colOff>
      <xdr:row>17</xdr:row>
      <xdr:rowOff>114300</xdr:rowOff>
    </xdr:from>
    <xdr:to>
      <xdr:col>2</xdr:col>
      <xdr:colOff>400050</xdr:colOff>
      <xdr:row>18</xdr:row>
      <xdr:rowOff>101600</xdr:rowOff>
    </xdr:to>
    <xdr:sp macro="" textlink="Pivots!E10">
      <xdr:nvSpPr>
        <xdr:cNvPr id="13" name="Rectangle 12">
          <a:extLst>
            <a:ext uri="{FF2B5EF4-FFF2-40B4-BE49-F238E27FC236}">
              <a16:creationId xmlns:a16="http://schemas.microsoft.com/office/drawing/2014/main" id="{126986A5-CAD5-44C9-97A2-CB83B225A7E0}"/>
            </a:ext>
          </a:extLst>
        </xdr:cNvPr>
        <xdr:cNvSpPr/>
      </xdr:nvSpPr>
      <xdr:spPr>
        <a:xfrm>
          <a:off x="1054100" y="3244850"/>
          <a:ext cx="666750" cy="17145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55745CF-DAEA-4BFA-9173-FFFFE15ED1F5}" type="TxLink">
            <a:rPr lang="en-US" sz="1100" b="0" i="0" u="none" strike="noStrike">
              <a:solidFill>
                <a:schemeClr val="bg1"/>
              </a:solidFill>
              <a:latin typeface="Aptos"/>
            </a:rPr>
            <a:pPr algn="ctr"/>
            <a:t>16,834</a:t>
          </a:fld>
          <a:endParaRPr lang="en-IN" sz="1100" b="1">
            <a:solidFill>
              <a:schemeClr val="bg1"/>
            </a:solidFill>
          </a:endParaRPr>
        </a:p>
      </xdr:txBody>
    </xdr:sp>
    <xdr:clientData/>
  </xdr:twoCellAnchor>
  <xdr:twoCellAnchor>
    <xdr:from>
      <xdr:col>1</xdr:col>
      <xdr:colOff>0</xdr:colOff>
      <xdr:row>21</xdr:row>
      <xdr:rowOff>0</xdr:rowOff>
    </xdr:from>
    <xdr:to>
      <xdr:col>3</xdr:col>
      <xdr:colOff>133350</xdr:colOff>
      <xdr:row>24</xdr:row>
      <xdr:rowOff>171450</xdr:rowOff>
    </xdr:to>
    <xdr:sp macro="" textlink="Pivots!C4">
      <xdr:nvSpPr>
        <xdr:cNvPr id="14" name="Rectangle 13">
          <a:extLst>
            <a:ext uri="{FF2B5EF4-FFF2-40B4-BE49-F238E27FC236}">
              <a16:creationId xmlns:a16="http://schemas.microsoft.com/office/drawing/2014/main" id="{810EEC92-7327-48B0-B615-619037AAD7FC}"/>
            </a:ext>
          </a:extLst>
        </xdr:cNvPr>
        <xdr:cNvSpPr/>
      </xdr:nvSpPr>
      <xdr:spPr>
        <a:xfrm>
          <a:off x="660400" y="3867150"/>
          <a:ext cx="1454150" cy="723900"/>
        </a:xfrm>
        <a:prstGeom prst="rect">
          <a:avLst/>
        </a:prstGeom>
        <a:solidFill>
          <a:srgbClr val="FF0000"/>
        </a:solid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5B66940-3F9F-4959-BFE7-B40B9EB1955F}" type="TxLink">
            <a:rPr lang="en-US" sz="1800" b="1" i="0" u="none" strike="noStrike">
              <a:solidFill>
                <a:schemeClr val="bg1"/>
              </a:solidFill>
              <a:latin typeface="Aptos"/>
            </a:rPr>
            <a:pPr algn="ctr"/>
            <a:t>3.9</a:t>
          </a:fld>
          <a:endParaRPr lang="en-IN" sz="3200" b="1">
            <a:solidFill>
              <a:schemeClr val="bg1"/>
            </a:solidFill>
            <a:latin typeface="+mj-lt"/>
          </a:endParaRPr>
        </a:p>
      </xdr:txBody>
    </xdr:sp>
    <xdr:clientData/>
  </xdr:twoCellAnchor>
  <xdr:twoCellAnchor>
    <xdr:from>
      <xdr:col>1</xdr:col>
      <xdr:colOff>279400</xdr:colOff>
      <xdr:row>21</xdr:row>
      <xdr:rowOff>25400</xdr:rowOff>
    </xdr:from>
    <xdr:to>
      <xdr:col>2</xdr:col>
      <xdr:colOff>584200</xdr:colOff>
      <xdr:row>22</xdr:row>
      <xdr:rowOff>25400</xdr:rowOff>
    </xdr:to>
    <xdr:sp macro="" textlink="">
      <xdr:nvSpPr>
        <xdr:cNvPr id="15" name="TextBox 14">
          <a:extLst>
            <a:ext uri="{FF2B5EF4-FFF2-40B4-BE49-F238E27FC236}">
              <a16:creationId xmlns:a16="http://schemas.microsoft.com/office/drawing/2014/main" id="{ED8EA593-CEB6-4125-820E-665289018EB6}"/>
            </a:ext>
          </a:extLst>
        </xdr:cNvPr>
        <xdr:cNvSpPr txBox="1"/>
      </xdr:nvSpPr>
      <xdr:spPr>
        <a:xfrm>
          <a:off x="939800" y="3892550"/>
          <a:ext cx="965200" cy="18415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Avg. Rating</a:t>
          </a:r>
        </a:p>
      </xdr:txBody>
    </xdr:sp>
    <xdr:clientData/>
  </xdr:twoCellAnchor>
  <xdr:twoCellAnchor>
    <xdr:from>
      <xdr:col>1</xdr:col>
      <xdr:colOff>393700</xdr:colOff>
      <xdr:row>23</xdr:row>
      <xdr:rowOff>114300</xdr:rowOff>
    </xdr:from>
    <xdr:to>
      <xdr:col>2</xdr:col>
      <xdr:colOff>400050</xdr:colOff>
      <xdr:row>24</xdr:row>
      <xdr:rowOff>101600</xdr:rowOff>
    </xdr:to>
    <xdr:sp macro="" textlink="Pivots!C10">
      <xdr:nvSpPr>
        <xdr:cNvPr id="17" name="Rectangle 16">
          <a:extLst>
            <a:ext uri="{FF2B5EF4-FFF2-40B4-BE49-F238E27FC236}">
              <a16:creationId xmlns:a16="http://schemas.microsoft.com/office/drawing/2014/main" id="{89829221-8E79-4EAB-836C-0C3AC446E378}"/>
            </a:ext>
          </a:extLst>
        </xdr:cNvPr>
        <xdr:cNvSpPr/>
      </xdr:nvSpPr>
      <xdr:spPr>
        <a:xfrm>
          <a:off x="1054100" y="4349750"/>
          <a:ext cx="666750" cy="17145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F9206E9-8E90-46C3-B56C-4B45F2FF71CE}" type="TxLink">
            <a:rPr lang="en-US" sz="1100" b="0" i="0" u="none" strike="noStrike">
              <a:solidFill>
                <a:schemeClr val="bg1"/>
              </a:solidFill>
              <a:latin typeface="Aptos"/>
            </a:rPr>
            <a:pPr algn="ctr"/>
            <a:t>3.9</a:t>
          </a:fld>
          <a:endParaRPr lang="en-IN" sz="1100" b="1">
            <a:solidFill>
              <a:schemeClr val="bg1"/>
            </a:solidFill>
          </a:endParaRPr>
        </a:p>
      </xdr:txBody>
    </xdr:sp>
    <xdr:clientData/>
  </xdr:twoCellAnchor>
  <xdr:twoCellAnchor>
    <xdr:from>
      <xdr:col>1</xdr:col>
      <xdr:colOff>0</xdr:colOff>
      <xdr:row>27</xdr:row>
      <xdr:rowOff>0</xdr:rowOff>
    </xdr:from>
    <xdr:to>
      <xdr:col>3</xdr:col>
      <xdr:colOff>133350</xdr:colOff>
      <xdr:row>30</xdr:row>
      <xdr:rowOff>171450</xdr:rowOff>
    </xdr:to>
    <xdr:sp macro="" textlink="Pivots!D4">
      <xdr:nvSpPr>
        <xdr:cNvPr id="18" name="Rectangle 17">
          <a:extLst>
            <a:ext uri="{FF2B5EF4-FFF2-40B4-BE49-F238E27FC236}">
              <a16:creationId xmlns:a16="http://schemas.microsoft.com/office/drawing/2014/main" id="{BC52F759-9743-47A5-A82F-ECBCE4939A09}"/>
            </a:ext>
          </a:extLst>
        </xdr:cNvPr>
        <xdr:cNvSpPr/>
      </xdr:nvSpPr>
      <xdr:spPr>
        <a:xfrm>
          <a:off x="660400" y="4972050"/>
          <a:ext cx="1454150" cy="723900"/>
        </a:xfrm>
        <a:prstGeom prst="rect">
          <a:avLst/>
        </a:prstGeom>
        <a:solidFill>
          <a:srgbClr val="FF0000"/>
        </a:solidFill>
        <a:ln>
          <a:solidFill>
            <a:srgbClr val="FF0000"/>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2FEEA1-4069-4ED4-A170-874AE116F1E1}" type="TxLink">
            <a:rPr lang="en-US" sz="1800" b="1" i="0" u="none" strike="noStrike">
              <a:solidFill>
                <a:schemeClr val="bg1"/>
              </a:solidFill>
              <a:latin typeface="Aptos"/>
            </a:rPr>
            <a:pPr algn="ctr"/>
            <a:t>307</a:t>
          </a:fld>
          <a:endParaRPr lang="en-IN" sz="3200" b="1">
            <a:solidFill>
              <a:schemeClr val="bg1"/>
            </a:solidFill>
            <a:latin typeface="+mj-lt"/>
          </a:endParaRPr>
        </a:p>
      </xdr:txBody>
    </xdr:sp>
    <xdr:clientData/>
  </xdr:twoCellAnchor>
  <xdr:twoCellAnchor>
    <xdr:from>
      <xdr:col>1</xdr:col>
      <xdr:colOff>234950</xdr:colOff>
      <xdr:row>27</xdr:row>
      <xdr:rowOff>31750</xdr:rowOff>
    </xdr:from>
    <xdr:to>
      <xdr:col>3</xdr:col>
      <xdr:colOff>95250</xdr:colOff>
      <xdr:row>28</xdr:row>
      <xdr:rowOff>25400</xdr:rowOff>
    </xdr:to>
    <xdr:sp macro="" textlink="">
      <xdr:nvSpPr>
        <xdr:cNvPr id="19" name="TextBox 18">
          <a:extLst>
            <a:ext uri="{FF2B5EF4-FFF2-40B4-BE49-F238E27FC236}">
              <a16:creationId xmlns:a16="http://schemas.microsoft.com/office/drawing/2014/main" id="{9CB4831B-707F-4AC4-9453-DDF63B7293CF}"/>
            </a:ext>
          </a:extLst>
        </xdr:cNvPr>
        <xdr:cNvSpPr txBox="1"/>
      </xdr:nvSpPr>
      <xdr:spPr>
        <a:xfrm>
          <a:off x="895350" y="5003800"/>
          <a:ext cx="1181100" cy="177800"/>
        </a:xfrm>
        <a:prstGeom prst="rect">
          <a:avLst/>
        </a:prstGeom>
        <a:solidFill>
          <a:srgbClr val="FF0000"/>
        </a:solidFill>
        <a:ln w="9525"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solidFill>
                <a:schemeClr val="bg1"/>
              </a:solidFill>
            </a:rPr>
            <a:t>Happy Callers</a:t>
          </a:r>
        </a:p>
      </xdr:txBody>
    </xdr:sp>
    <xdr:clientData/>
  </xdr:twoCellAnchor>
  <xdr:twoCellAnchor>
    <xdr:from>
      <xdr:col>1</xdr:col>
      <xdr:colOff>393700</xdr:colOff>
      <xdr:row>29</xdr:row>
      <xdr:rowOff>114300</xdr:rowOff>
    </xdr:from>
    <xdr:to>
      <xdr:col>2</xdr:col>
      <xdr:colOff>400050</xdr:colOff>
      <xdr:row>30</xdr:row>
      <xdr:rowOff>101600</xdr:rowOff>
    </xdr:to>
    <xdr:sp macro="" textlink="Pivots!D10">
      <xdr:nvSpPr>
        <xdr:cNvPr id="21" name="Rectangle 20">
          <a:extLst>
            <a:ext uri="{FF2B5EF4-FFF2-40B4-BE49-F238E27FC236}">
              <a16:creationId xmlns:a16="http://schemas.microsoft.com/office/drawing/2014/main" id="{73734892-D078-4BE3-92F2-C565F2A73499}"/>
            </a:ext>
          </a:extLst>
        </xdr:cNvPr>
        <xdr:cNvSpPr/>
      </xdr:nvSpPr>
      <xdr:spPr>
        <a:xfrm>
          <a:off x="1054100" y="5454650"/>
          <a:ext cx="666750" cy="171450"/>
        </a:xfrm>
        <a:prstGeom prst="rect">
          <a:avLst/>
        </a:prstGeom>
        <a:solidFill>
          <a:srgbClr val="FF0000"/>
        </a:solid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18A60D3-F8F8-4A97-B499-AD689EA74638}" type="TxLink">
            <a:rPr lang="en-US" sz="1100" b="0" i="0" u="none" strike="noStrike">
              <a:solidFill>
                <a:schemeClr val="bg1"/>
              </a:solidFill>
              <a:latin typeface="Aptos"/>
            </a:rPr>
            <a:pPr algn="ctr"/>
            <a:t>60</a:t>
          </a:fld>
          <a:endParaRPr lang="en-IN" sz="1100" b="1">
            <a:solidFill>
              <a:schemeClr val="bg1"/>
            </a:solidFill>
          </a:endParaRPr>
        </a:p>
      </xdr:txBody>
    </xdr:sp>
    <xdr:clientData/>
  </xdr:twoCellAnchor>
  <xdr:twoCellAnchor editAs="oneCell">
    <xdr:from>
      <xdr:col>22</xdr:col>
      <xdr:colOff>288473</xdr:colOff>
      <xdr:row>6</xdr:row>
      <xdr:rowOff>37193</xdr:rowOff>
    </xdr:from>
    <xdr:to>
      <xdr:col>25</xdr:col>
      <xdr:colOff>26309</xdr:colOff>
      <xdr:row>16</xdr:row>
      <xdr:rowOff>43543</xdr:rowOff>
    </xdr:to>
    <mc:AlternateContent xmlns:mc="http://schemas.openxmlformats.org/markup-compatibility/2006" xmlns:a14="http://schemas.microsoft.com/office/drawing/2010/main">
      <mc:Choice Requires="a14">
        <xdr:graphicFrame macro="">
          <xdr:nvGraphicFramePr>
            <xdr:cNvPr id="22" name="Representative 1">
              <a:extLst>
                <a:ext uri="{FF2B5EF4-FFF2-40B4-BE49-F238E27FC236}">
                  <a16:creationId xmlns:a16="http://schemas.microsoft.com/office/drawing/2014/main" id="{FB36C1ED-141A-45C5-96D7-410F82E592FE}"/>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14321973" y="1125764"/>
              <a:ext cx="1724479" cy="1820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xdr:colOff>
      <xdr:row>9</xdr:row>
      <xdr:rowOff>57150</xdr:rowOff>
    </xdr:from>
    <xdr:to>
      <xdr:col>1</xdr:col>
      <xdr:colOff>341072</xdr:colOff>
      <xdr:row>10</xdr:row>
      <xdr:rowOff>139700</xdr:rowOff>
    </xdr:to>
    <xdr:pic>
      <xdr:nvPicPr>
        <xdr:cNvPr id="23" name="Graphic 22" descr="Shopping cart with solid fill">
          <a:extLst>
            <a:ext uri="{FF2B5EF4-FFF2-40B4-BE49-F238E27FC236}">
              <a16:creationId xmlns:a16="http://schemas.microsoft.com/office/drawing/2014/main" id="{E7D4754B-9976-4696-957B-84B93E49E51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17550" y="1714500"/>
          <a:ext cx="283922" cy="266700"/>
        </a:xfrm>
        <a:prstGeom prst="rect">
          <a:avLst/>
        </a:prstGeom>
      </xdr:spPr>
    </xdr:pic>
    <xdr:clientData/>
  </xdr:twoCellAnchor>
  <xdr:twoCellAnchor editAs="oneCell">
    <xdr:from>
      <xdr:col>1</xdr:col>
      <xdr:colOff>25400</xdr:colOff>
      <xdr:row>15</xdr:row>
      <xdr:rowOff>95250</xdr:rowOff>
    </xdr:from>
    <xdr:to>
      <xdr:col>1</xdr:col>
      <xdr:colOff>298450</xdr:colOff>
      <xdr:row>16</xdr:row>
      <xdr:rowOff>178630</xdr:rowOff>
    </xdr:to>
    <xdr:pic>
      <xdr:nvPicPr>
        <xdr:cNvPr id="24" name="Graphic 23" descr="Hourglass Finished with solid fill">
          <a:extLst>
            <a:ext uri="{FF2B5EF4-FFF2-40B4-BE49-F238E27FC236}">
              <a16:creationId xmlns:a16="http://schemas.microsoft.com/office/drawing/2014/main" id="{8C860590-0A81-478F-A79A-984AE570EDA2}"/>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2857500"/>
          <a:ext cx="273050" cy="267530"/>
        </a:xfrm>
        <a:prstGeom prst="rect">
          <a:avLst/>
        </a:prstGeom>
      </xdr:spPr>
    </xdr:pic>
    <xdr:clientData/>
  </xdr:twoCellAnchor>
  <xdr:twoCellAnchor editAs="oneCell">
    <xdr:from>
      <xdr:col>1</xdr:col>
      <xdr:colOff>57150</xdr:colOff>
      <xdr:row>21</xdr:row>
      <xdr:rowOff>38100</xdr:rowOff>
    </xdr:from>
    <xdr:to>
      <xdr:col>1</xdr:col>
      <xdr:colOff>368300</xdr:colOff>
      <xdr:row>22</xdr:row>
      <xdr:rowOff>152574</xdr:rowOff>
    </xdr:to>
    <xdr:pic>
      <xdr:nvPicPr>
        <xdr:cNvPr id="25" name="Graphic 24" descr="Rating Star with solid fill">
          <a:extLst>
            <a:ext uri="{FF2B5EF4-FFF2-40B4-BE49-F238E27FC236}">
              <a16:creationId xmlns:a16="http://schemas.microsoft.com/office/drawing/2014/main" id="{A369E885-2D83-41BB-9A7B-445D587C533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17550" y="3905250"/>
          <a:ext cx="311150" cy="298624"/>
        </a:xfrm>
        <a:prstGeom prst="rect">
          <a:avLst/>
        </a:prstGeom>
      </xdr:spPr>
    </xdr:pic>
    <xdr:clientData/>
  </xdr:twoCellAnchor>
  <xdr:twoCellAnchor editAs="oneCell">
    <xdr:from>
      <xdr:col>1</xdr:col>
      <xdr:colOff>6350</xdr:colOff>
      <xdr:row>27</xdr:row>
      <xdr:rowOff>31751</xdr:rowOff>
    </xdr:from>
    <xdr:to>
      <xdr:col>1</xdr:col>
      <xdr:colOff>381000</xdr:colOff>
      <xdr:row>29</xdr:row>
      <xdr:rowOff>22952</xdr:rowOff>
    </xdr:to>
    <xdr:pic>
      <xdr:nvPicPr>
        <xdr:cNvPr id="26" name="Graphic 25" descr="Star-struck face outline with solid fill">
          <a:extLst>
            <a:ext uri="{FF2B5EF4-FFF2-40B4-BE49-F238E27FC236}">
              <a16:creationId xmlns:a16="http://schemas.microsoft.com/office/drawing/2014/main" id="{BCA1B3AA-8362-4FB4-A0D4-29D0D8D2C3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66750" y="5003801"/>
          <a:ext cx="374650" cy="359501"/>
        </a:xfrm>
        <a:prstGeom prst="rect">
          <a:avLst/>
        </a:prstGeom>
      </xdr:spPr>
    </xdr:pic>
    <xdr:clientData/>
  </xdr:twoCellAnchor>
  <xdr:twoCellAnchor>
    <xdr:from>
      <xdr:col>10</xdr:col>
      <xdr:colOff>0</xdr:colOff>
      <xdr:row>3</xdr:row>
      <xdr:rowOff>0</xdr:rowOff>
    </xdr:from>
    <xdr:to>
      <xdr:col>13</xdr:col>
      <xdr:colOff>431799</xdr:colOff>
      <xdr:row>13</xdr:row>
      <xdr:rowOff>31750</xdr:rowOff>
    </xdr:to>
    <xdr:graphicFrame macro="">
      <xdr:nvGraphicFramePr>
        <xdr:cNvPr id="8" name="Chart 7">
          <a:extLst>
            <a:ext uri="{FF2B5EF4-FFF2-40B4-BE49-F238E27FC236}">
              <a16:creationId xmlns:a16="http://schemas.microsoft.com/office/drawing/2014/main" id="{DA304D4F-3D0E-4806-90BC-DDF496748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0</xdr:colOff>
      <xdr:row>3</xdr:row>
      <xdr:rowOff>0</xdr:rowOff>
    </xdr:from>
    <xdr:to>
      <xdr:col>9</xdr:col>
      <xdr:colOff>647700</xdr:colOff>
      <xdr:row>13</xdr:row>
      <xdr:rowOff>25400</xdr:rowOff>
    </xdr:to>
    <xdr:graphicFrame macro="">
      <xdr:nvGraphicFramePr>
        <xdr:cNvPr id="27" name="Chart 26">
          <a:extLst>
            <a:ext uri="{FF2B5EF4-FFF2-40B4-BE49-F238E27FC236}">
              <a16:creationId xmlns:a16="http://schemas.microsoft.com/office/drawing/2014/main" id="{07B8385B-0F8B-4E20-B693-107694A51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628650</xdr:colOff>
      <xdr:row>14</xdr:row>
      <xdr:rowOff>127000</xdr:rowOff>
    </xdr:from>
    <xdr:to>
      <xdr:col>13</xdr:col>
      <xdr:colOff>476250</xdr:colOff>
      <xdr:row>30</xdr:row>
      <xdr:rowOff>95250</xdr:rowOff>
    </xdr:to>
    <xdr:sp macro="" textlink="">
      <xdr:nvSpPr>
        <xdr:cNvPr id="20" name="Rectangle 19">
          <a:extLst>
            <a:ext uri="{FF2B5EF4-FFF2-40B4-BE49-F238E27FC236}">
              <a16:creationId xmlns:a16="http://schemas.microsoft.com/office/drawing/2014/main" id="{7C5960A3-6E14-96AB-9D67-F97AA237BD33}"/>
            </a:ext>
          </a:extLst>
        </xdr:cNvPr>
        <xdr:cNvSpPr/>
      </xdr:nvSpPr>
      <xdr:spPr>
        <a:xfrm>
          <a:off x="2076450" y="2705100"/>
          <a:ext cx="6451600" cy="2914650"/>
        </a:xfrm>
        <a:prstGeom prst="rect">
          <a:avLst/>
        </a:prstGeom>
        <a:solidFill>
          <a:schemeClr val="bg1"/>
        </a:solidFill>
        <a:ln w="317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15</xdr:row>
      <xdr:rowOff>0</xdr:rowOff>
    </xdr:from>
    <xdr:to>
      <xdr:col>8</xdr:col>
      <xdr:colOff>444500</xdr:colOff>
      <xdr:row>29</xdr:row>
      <xdr:rowOff>165100</xdr:rowOff>
    </xdr:to>
    <xdr:graphicFrame macro="">
      <xdr:nvGraphicFramePr>
        <xdr:cNvPr id="12" name="Chart 11">
          <a:extLst>
            <a:ext uri="{FF2B5EF4-FFF2-40B4-BE49-F238E27FC236}">
              <a16:creationId xmlns:a16="http://schemas.microsoft.com/office/drawing/2014/main" id="{A3746A38-ADC3-4496-AD3C-6E86B7261E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412750</xdr:colOff>
      <xdr:row>15</xdr:row>
      <xdr:rowOff>0</xdr:rowOff>
    </xdr:from>
    <xdr:to>
      <xdr:col>13</xdr:col>
      <xdr:colOff>438150</xdr:colOff>
      <xdr:row>29</xdr:row>
      <xdr:rowOff>165100</xdr:rowOff>
    </xdr:to>
    <xdr:graphicFrame macro="">
      <xdr:nvGraphicFramePr>
        <xdr:cNvPr id="16" name="Chart 15">
          <a:extLst>
            <a:ext uri="{FF2B5EF4-FFF2-40B4-BE49-F238E27FC236}">
              <a16:creationId xmlns:a16="http://schemas.microsoft.com/office/drawing/2014/main" id="{92204B0E-56E0-454A-9071-C4DE39D9F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9071</xdr:colOff>
      <xdr:row>0</xdr:row>
      <xdr:rowOff>63499</xdr:rowOff>
    </xdr:from>
    <xdr:to>
      <xdr:col>20</xdr:col>
      <xdr:colOff>381000</xdr:colOff>
      <xdr:row>15</xdr:row>
      <xdr:rowOff>18142</xdr:rowOff>
    </xdr:to>
    <xdr:graphicFrame macro="">
      <xdr:nvGraphicFramePr>
        <xdr:cNvPr id="28" name="Chart 27">
          <a:extLst>
            <a:ext uri="{FF2B5EF4-FFF2-40B4-BE49-F238E27FC236}">
              <a16:creationId xmlns:a16="http://schemas.microsoft.com/office/drawing/2014/main" id="{EC250C2C-88BC-46EC-B009-6B6EA8C47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xdr:col>
      <xdr:colOff>653144</xdr:colOff>
      <xdr:row>15</xdr:row>
      <xdr:rowOff>36286</xdr:rowOff>
    </xdr:from>
    <xdr:to>
      <xdr:col>20</xdr:col>
      <xdr:colOff>408215</xdr:colOff>
      <xdr:row>30</xdr:row>
      <xdr:rowOff>102508</xdr:rowOff>
    </xdr:to>
    <xdr:graphicFrame macro="">
      <xdr:nvGraphicFramePr>
        <xdr:cNvPr id="29" name="Chart 28">
          <a:extLst>
            <a:ext uri="{FF2B5EF4-FFF2-40B4-BE49-F238E27FC236}">
              <a16:creationId xmlns:a16="http://schemas.microsoft.com/office/drawing/2014/main" id="{19104044-986C-4293-8851-3668FD05E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228600</xdr:colOff>
      <xdr:row>3</xdr:row>
      <xdr:rowOff>165100</xdr:rowOff>
    </xdr:from>
    <xdr:to>
      <xdr:col>7</xdr:col>
      <xdr:colOff>736600</xdr:colOff>
      <xdr:row>14</xdr:row>
      <xdr:rowOff>6350</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5680B599-9D3D-1277-265A-506175C60A02}"/>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121150" y="717550"/>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530225</xdr:colOff>
      <xdr:row>16</xdr:row>
      <xdr:rowOff>50800</xdr:rowOff>
    </xdr:from>
    <xdr:to>
      <xdr:col>10</xdr:col>
      <xdr:colOff>263525</xdr:colOff>
      <xdr:row>31</xdr:row>
      <xdr:rowOff>31750</xdr:rowOff>
    </xdr:to>
    <xdr:graphicFrame macro="">
      <xdr:nvGraphicFramePr>
        <xdr:cNvPr id="3" name="Chart 2">
          <a:extLst>
            <a:ext uri="{FF2B5EF4-FFF2-40B4-BE49-F238E27FC236}">
              <a16:creationId xmlns:a16="http://schemas.microsoft.com/office/drawing/2014/main" id="{74A5940D-DA9C-16BB-C2CC-84A516D8A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34925</xdr:colOff>
      <xdr:row>35</xdr:row>
      <xdr:rowOff>139700</xdr:rowOff>
    </xdr:from>
    <xdr:to>
      <xdr:col>8</xdr:col>
      <xdr:colOff>342900</xdr:colOff>
      <xdr:row>47</xdr:row>
      <xdr:rowOff>107950</xdr:rowOff>
    </xdr:to>
    <xdr:graphicFrame macro="">
      <xdr:nvGraphicFramePr>
        <xdr:cNvPr id="4" name="Chart 3">
          <a:extLst>
            <a:ext uri="{FF2B5EF4-FFF2-40B4-BE49-F238E27FC236}">
              <a16:creationId xmlns:a16="http://schemas.microsoft.com/office/drawing/2014/main" id="{68F904DF-C91B-62DF-FC89-71E8579292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12700</xdr:colOff>
      <xdr:row>49</xdr:row>
      <xdr:rowOff>107950</xdr:rowOff>
    </xdr:from>
    <xdr:to>
      <xdr:col>16</xdr:col>
      <xdr:colOff>146050</xdr:colOff>
      <xdr:row>64</xdr:row>
      <xdr:rowOff>88900</xdr:rowOff>
    </xdr:to>
    <xdr:graphicFrame macro="">
      <xdr:nvGraphicFramePr>
        <xdr:cNvPr id="5" name="Chart 4">
          <a:extLst>
            <a:ext uri="{FF2B5EF4-FFF2-40B4-BE49-F238E27FC236}">
              <a16:creationId xmlns:a16="http://schemas.microsoft.com/office/drawing/2014/main" id="{B2556AC1-172F-CACE-B2BE-C0807B0DC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234950</xdr:colOff>
      <xdr:row>49</xdr:row>
      <xdr:rowOff>114300</xdr:rowOff>
    </xdr:from>
    <xdr:to>
      <xdr:col>22</xdr:col>
      <xdr:colOff>368300</xdr:colOff>
      <xdr:row>64</xdr:row>
      <xdr:rowOff>95250</xdr:rowOff>
    </xdr:to>
    <xdr:graphicFrame macro="">
      <xdr:nvGraphicFramePr>
        <xdr:cNvPr id="6" name="Chart 5">
          <a:extLst>
            <a:ext uri="{FF2B5EF4-FFF2-40B4-BE49-F238E27FC236}">
              <a16:creationId xmlns:a16="http://schemas.microsoft.com/office/drawing/2014/main" id="{66230740-FCB5-475E-AE01-56A553367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130175</xdr:colOff>
      <xdr:row>66</xdr:row>
      <xdr:rowOff>25400</xdr:rowOff>
    </xdr:from>
    <xdr:to>
      <xdr:col>9</xdr:col>
      <xdr:colOff>368300</xdr:colOff>
      <xdr:row>79</xdr:row>
      <xdr:rowOff>88900</xdr:rowOff>
    </xdr:to>
    <xdr:graphicFrame macro="">
      <xdr:nvGraphicFramePr>
        <xdr:cNvPr id="7" name="Chart 6">
          <a:extLst>
            <a:ext uri="{FF2B5EF4-FFF2-40B4-BE49-F238E27FC236}">
              <a16:creationId xmlns:a16="http://schemas.microsoft.com/office/drawing/2014/main" id="{CB1D006A-69B1-0BED-99F2-B2B2B344F9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409575</xdr:colOff>
      <xdr:row>82</xdr:row>
      <xdr:rowOff>31750</xdr:rowOff>
    </xdr:from>
    <xdr:to>
      <xdr:col>8</xdr:col>
      <xdr:colOff>454025</xdr:colOff>
      <xdr:row>97</xdr:row>
      <xdr:rowOff>57150</xdr:rowOff>
    </xdr:to>
    <xdr:graphicFrame macro="">
      <xdr:nvGraphicFramePr>
        <xdr:cNvPr id="8" name="Chart 7">
          <a:extLst>
            <a:ext uri="{FF2B5EF4-FFF2-40B4-BE49-F238E27FC236}">
              <a16:creationId xmlns:a16="http://schemas.microsoft.com/office/drawing/2014/main" id="{690B3289-9516-3355-ED06-7A9465DAE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3.344844097221" backgroundQuery="1" createdVersion="8" refreshedVersion="8" minRefreshableVersion="3" recordCount="0" supportSubquery="1" supportAdvancedDrill="1" xr:uid="{4F628331-C546-4311-B4C6-AEA78A50B402}">
  <cacheSource type="external" connectionId="1"/>
  <cacheFields count="5">
    <cacheField name="[Measures].[Call Count]" caption="Call Count" numFmtId="0" hierarchy="18" level="32767"/>
    <cacheField name="[Measures].[Total Amount]" caption="Total Amount" numFmtId="0" hierarchy="19" level="32767"/>
    <cacheField name="[Measures].[Average Rating]" caption="Average Rating" numFmtId="0" hierarchy="21" level="32767"/>
    <cacheField name="[Measures].[5* Calls]" caption="5* Calls" numFmtId="0" hierarchy="22" level="32767"/>
    <cacheField name="[Measures].[Total Duration]" caption="Total Duration" numFmtId="0" hierarchy="20"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4"/>
      </fieldsUsage>
    </cacheHierarchy>
    <cacheHierarchy uniqueName="[Measures].[Average Rating]" caption="Average Rating" measure="1" displayFolder="" measureGroup="calls" count="0" oneField="1">
      <fieldsUsage count="1">
        <fieldUsage x="2"/>
      </fieldsUsage>
    </cacheHierarchy>
    <cacheHierarchy uniqueName="[Measures].[5* Calls]" caption="5* 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4.378586342595" backgroundQuery="1" createdVersion="8" refreshedVersion="8" minRefreshableVersion="3" recordCount="0" supportSubquery="1" supportAdvancedDrill="1" xr:uid="{1888397B-2FB1-45D0-9DCC-2C5F5710531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8" level="32767"/>
    <cacheField name="[Measures].[Total Amount]" caption="Total Amount" numFmtId="0" hierarchy="19"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5.337248263888" backgroundQuery="1" createdVersion="8" refreshedVersion="8" minRefreshableVersion="3" recordCount="0" supportSubquery="1" supportAdvancedDrill="1" xr:uid="{DAEEBD21-67C1-47EF-B6A2-F038E2188D94}">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5.351966666669" backgroundQuery="1" createdVersion="8" refreshedVersion="8" minRefreshableVersion="3" recordCount="0" supportSubquery="1" supportAdvancedDrill="1" xr:uid="{D7ADA41E-F0A0-4200-8883-0355211DD50F}">
  <cacheSource type="external" connectionId="1"/>
  <cacheFields count="6">
    <cacheField name="[Measures].[Call Count]" caption="Call Count" numFmtId="0" hierarchy="18" level="32767"/>
    <cacheField name="[Measures].[Total Amount]" caption="Total Amount" numFmtId="0" hierarchy="19" level="32767"/>
    <cacheField name="[Measures].[Average Rating]" caption="Average Rating" numFmtId="0" hierarchy="21" level="32767"/>
    <cacheField name="[Measures].[5* Calls]" caption="5* Calls" numFmtId="0" hierarchy="22" level="32767"/>
    <cacheField name="[calls].[Representative].[Representative]" caption="Representative" numFmtId="0" hierarchy="3" level="1">
      <sharedItems containsSemiMixedTypes="0" containsNonDate="0" containsString="0"/>
    </cacheField>
    <cacheField name="[Measures].[Total Duration]" caption="Total Duration" numFmtId="0" hierarchy="20"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4"/>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5"/>
      </fieldsUsage>
    </cacheHierarchy>
    <cacheHierarchy uniqueName="[Measures].[Average Rating]" caption="Average Rating" measure="1" displayFolder="" measureGroup="calls" count="0" oneField="1">
      <fieldsUsage count="1">
        <fieldUsage x="2"/>
      </fieldsUsage>
    </cacheHierarchy>
    <cacheHierarchy uniqueName="[Measures].[5* Calls]" caption="5* Calls" measure="1" displayFolder="" measureGroup="calls" count="0" oneField="1">
      <fieldsUsage count="1">
        <fieldUsage x="3"/>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5.351969328702" backgroundQuery="1" createdVersion="8" refreshedVersion="8" minRefreshableVersion="3" recordCount="0" supportSubquery="1" supportAdvancedDrill="1" xr:uid="{73CB731B-551C-4015-9E25-55A68F4E03BE}">
  <cacheSource type="external" connectionId="1"/>
  <cacheFields count="5">
    <cacheField name="[calls].[Date of Call].[Date of Call]" caption="Date of Call" numFmtId="0" hierarchy="4" level="1">
      <sharedItems containsSemiMixedTypes="0" containsNonDate="0" containsDate="1" containsString="0" minDate="2023-01-02T00:00:00" maxDate="2024-01-01T00:00:00" count="14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d v="2023-02-02T00:00:00"/>
        <d v="2023-02-04T00:00:00"/>
        <d v="2023-02-05T00:00:00"/>
        <d v="2023-02-10T00:00:00"/>
        <d v="2023-02-12T00:00:00"/>
        <d v="2023-02-13T00:00:00"/>
        <d v="2023-02-15T00:00:00"/>
        <d v="2023-02-19T00:00:00"/>
        <d v="2023-02-20T00:00:00"/>
        <d v="2023-02-22T00:00:00"/>
        <d v="2023-02-26T00:00:00"/>
        <d v="2023-02-27T00:00:00"/>
        <d v="2023-02-28T00:00:00"/>
        <d v="2023-03-01T00:00:00"/>
        <d v="2023-03-02T00:00:00"/>
        <d v="2023-03-03T00:00:00"/>
        <d v="2023-03-04T00:00:00"/>
        <d v="2023-03-05T00:00:00"/>
        <d v="2023-03-06T00:00:00"/>
        <d v="2023-03-07T00:00:00"/>
        <d v="2023-03-09T00:00:00"/>
        <d v="2023-03-11T00:00:00"/>
        <d v="2023-03-13T00:00:00"/>
        <d v="2023-03-14T00:00:00"/>
        <d v="2023-03-17T00:00:00"/>
        <d v="2023-03-18T00:00:00"/>
        <d v="2023-03-19T00:00:00"/>
        <d v="2023-03-20T00:00:00"/>
        <d v="2023-03-21T00:00:00"/>
        <d v="2023-03-22T00:00:00"/>
        <d v="2023-03-25T00:00:00"/>
        <d v="2023-03-27T00:00:00"/>
        <d v="2023-03-28T00:00:00"/>
        <d v="2023-03-31T00:00:00"/>
        <d v="2023-04-01T00:00:00"/>
        <d v="2023-04-04T00:00:00"/>
        <d v="2023-04-05T00:00:00"/>
        <d v="2023-04-07T00:00:00"/>
        <d v="2023-04-15T00:00:00"/>
        <d v="2023-04-16T00:00:00"/>
        <d v="2023-04-19T00:00:00"/>
        <d v="2023-04-20T00:00:00"/>
        <d v="2023-04-21T00:00:00"/>
        <d v="2023-04-22T00:00:00"/>
        <d v="2023-04-23T00:00:00"/>
        <d v="2023-04-24T00:00:00"/>
        <d v="2023-04-26T00:00:00"/>
        <d v="2023-04-29T00:00:00"/>
        <d v="2023-05-01T00:00:00"/>
        <d v="2023-05-04T00:00:00"/>
        <d v="2023-05-08T00:00:00"/>
        <d v="2023-05-11T00:00:00"/>
        <d v="2023-05-12T00:00:00"/>
        <d v="2023-05-14T00:00:00"/>
        <d v="2023-05-15T00:00:00"/>
        <d v="2023-05-17T00:00:00"/>
        <d v="2023-05-21T00:00:00"/>
        <d v="2023-05-22T00:00:00"/>
        <d v="2023-05-26T00:00:00"/>
        <d v="2023-05-28T00:00:00"/>
        <d v="2023-05-30T00:00:00"/>
        <d v="2023-06-03T00:00:00"/>
        <d v="2023-06-05T00:00:00"/>
        <d v="2023-06-08T00:00:00"/>
        <d v="2023-06-10T00:00:00"/>
        <d v="2023-06-11T00:00:00"/>
        <d v="2023-06-14T00:00:00"/>
        <d v="2023-06-15T00:00:00"/>
        <d v="2023-06-16T00:00:00"/>
        <d v="2023-06-20T00:00:00"/>
        <d v="2023-06-21T00:00:00"/>
        <d v="2023-06-23T00:00:00"/>
        <d v="2023-06-25T00:00:00"/>
        <d v="2023-06-26T00:00:00"/>
        <d v="2023-07-01T00:00:00"/>
        <d v="2023-07-06T00:00:00"/>
        <d v="2023-07-08T00:00:00"/>
        <d v="2023-07-10T00:00:00"/>
        <d v="2023-07-13T00:00:00"/>
        <d v="2023-07-14T00:00:00"/>
        <d v="2023-07-16T00:00:00"/>
        <d v="2023-07-17T00:00:00"/>
        <d v="2023-07-20T00:00:00"/>
        <d v="2023-07-21T00:00:00"/>
        <d v="2023-07-22T00:00:00"/>
        <d v="2023-07-31T00:00:00"/>
        <d v="2023-08-06T00:00:00"/>
        <d v="2023-08-19T00:00:00"/>
        <d v="2023-08-20T00:00:00"/>
        <d v="2023-08-24T00:00:00"/>
        <d v="2023-08-26T00:00:00"/>
        <d v="2023-09-04T00:00:00"/>
        <d v="2023-09-08T00:00:00"/>
        <d v="2023-09-09T00:00:00"/>
        <d v="2023-09-14T00:00:00"/>
        <d v="2023-09-22T00:00:00"/>
        <d v="2023-09-23T00:00:00"/>
        <d v="2023-09-25T00:00:00"/>
        <d v="2023-09-29T00:00:00"/>
        <d v="2023-09-30T00:00:00"/>
        <d v="2023-10-01T00:00:00"/>
        <d v="2023-10-02T00:00:00"/>
        <d v="2023-10-05T00:00:00"/>
        <d v="2023-10-06T00:00:00"/>
        <d v="2023-10-08T00:00:00"/>
        <d v="2023-10-11T00:00:00"/>
        <d v="2023-10-14T00:00:00"/>
        <d v="2023-10-15T00:00:00"/>
        <d v="2023-10-18T00:00:00"/>
        <d v="2023-10-19T00:00:00"/>
        <d v="2023-10-20T00:00:00"/>
        <d v="2023-10-21T00:00:00"/>
        <d v="2023-10-26T00:00:00"/>
        <d v="2023-10-27T00:00:00"/>
        <d v="2023-10-28T00:00:00"/>
        <d v="2023-11-04T00:00:00"/>
        <d v="2023-11-08T00:00:00"/>
        <d v="2023-11-13T00:00:00"/>
        <d v="2023-11-18T00:00:00"/>
        <d v="2023-11-19T00:00:00"/>
        <d v="2023-11-23T00:00:00"/>
        <d v="2023-11-26T00:00:00"/>
        <d v="2023-11-28T00:00:00"/>
        <d v="2023-11-30T00:00:00"/>
        <d v="2023-12-09T00:00:00"/>
        <d v="2023-12-17T00:00:00"/>
        <d v="2023-12-20T00:00:00"/>
        <d v="2023-12-25T00:00:00"/>
        <d v="2023-12-29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5.351971064818" backgroundQuery="1" createdVersion="8" refreshedVersion="8" minRefreshableVersion="3" recordCount="0" supportSubquery="1" supportAdvancedDrill="1" xr:uid="{9A9EAF06-C62C-4BED-B029-838F76AE2950}">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5.351972685188" backgroundQuery="1" createdVersion="8" refreshedVersion="8" minRefreshableVersion="3" recordCount="0" supportSubquery="1" supportAdvancedDrill="1" xr:uid="{1B4032C0-FF98-402D-815C-F218E75FC712}">
  <cacheSource type="external" connectionId="1"/>
  <cacheFields count="1">
    <cacheField name="[calls].[Representative].[Representative]" caption="Representative" numFmtId="0" hierarchy="3" level="1">
      <sharedItems count="3">
        <s v="R01"/>
        <s v="R04" u="1"/>
        <s v="R02" u="1"/>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5.351974652775" backgroundQuery="1" createdVersion="8" refreshedVersion="8" minRefreshableVersion="3" recordCount="0" supportSubquery="1" supportAdvancedDrill="1" xr:uid="{6A85A27E-6D20-4F99-8219-73D08CE978E8}">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 caption="Call Count" numFmtId="0" hierarchy="18"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7490" refreshedDate="46183.344835185184" backgroundQuery="1" createdVersion="3" refreshedVersion="8" minRefreshableVersion="3" recordCount="0" supportSubquery="1" supportAdvancedDrill="1" xr:uid="{1767056B-DF0C-4541-B029-BBC844CC6FFC}">
  <cacheSource type="external" connectionId="1">
    <extLst>
      <ext xmlns:x14="http://schemas.microsoft.com/office/spreadsheetml/2009/9/main" uri="{F057638F-6D5F-4e77-A914-E7F072B9BCA8}">
        <x14:sourceConnection name="ThisWorkbookDataModel"/>
      </ext>
    </extLst>
  </cacheSource>
  <cacheFields count="0"/>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Purchase Amount]" caption="Sum of Purchase Amount" measure="1" displayFolder="" measureGroup="calls" count="0">
      <extLst>
        <ext xmlns:x15="http://schemas.microsoft.com/office/spreadsheetml/2010/11/main" uri="{B97F6D7D-B522-45F9-BDA1-12C45D357490}">
          <x15:cacheHierarchy aggregatedColumn="5"/>
        </ext>
      </extLst>
    </cacheHierarchy>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7076895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9C2661-068D-4144-87C7-FBACAF645199}" name="Monthly Trend"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9:C32" firstHeaderRow="0" firstDataRow="1" firstDataCol="1"/>
  <pivotFields count="5">
    <pivotField axis="axisRow" allDrilled="1" subtotalTop="0" showAll="0" dataSourceSort="1" defaultSubtotal="0" defaultAttributeDrillState="1">
      <items count="14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1"/>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B3DB8C-837C-4F8E-8894-9BE928C10081}" name="rep pivot"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5" subtotal="count" baseField="0" baseItem="0"/>
  </dataField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737F17-6379-4B19-86CC-41CDED61A8BF}"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28733CC-E543-4EDA-8FD9-F87C8D1E4EAE}" name="Rep Satisfaction"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4:B90"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3">
    <chartFormat chart="8"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4AF99D-2E78-4588-8593-7CD599A125CD}"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73:D78"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4">
    <chartFormat chart="1" format="0" series="1">
      <pivotArea type="data" outline="0" fieldPosition="0">
        <references count="2">
          <reference field="4294967294" count="1" selected="0">
            <x v="0"/>
          </reference>
          <reference field="0" count="1" selected="0">
            <x v="0"/>
          </reference>
        </references>
      </pivotArea>
    </chartFormat>
    <chartFormat chart="1" format="1" series="1">
      <pivotArea type="data" outline="0" fieldPosition="0">
        <references count="2">
          <reference field="4294967294" count="1" selected="0">
            <x v="0"/>
          </reference>
          <reference field="0" count="1" selected="0">
            <x v="1"/>
          </reference>
        </references>
      </pivotArea>
    </chartFormat>
    <chartFormat chart="5" format="4" series="1">
      <pivotArea type="data" outline="0" fieldPosition="0">
        <references count="2">
          <reference field="4294967294" count="1" selected="0">
            <x v="0"/>
          </reference>
          <reference field="0" count="1" selected="0">
            <x v="0"/>
          </reference>
        </references>
      </pivotArea>
    </chartFormat>
    <chartFormat chart="5" format="5"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CFA947-7F32-4380-A54E-0BDAADAF701D}" name="Weekly Trend"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7:B45"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2">
    <chartFormat chart="9"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639769-4D98-4942-AD30-27F9230B3566}" name="Selected Rep" cacheId="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8:A69" firstHeaderRow="1" firstDataRow="1" firstDataCol="1"/>
  <pivotFields count="1">
    <pivotField axis="axisRow" allDrilled="1" subtotalTop="0" showAll="0" dataSourceSort="1" defaultSubtotal="0" defaultAttributeDrillState="1">
      <items count="3">
        <item s="1" x="0"/>
        <item x="1"/>
        <item x="2"/>
      </items>
    </pivotField>
  </pivotFields>
  <rowFields count="1">
    <field x="0"/>
  </rowFields>
  <rowItems count="1">
    <i>
      <x/>
    </i>
  </rowItems>
  <formats count="3">
    <format dxfId="16">
      <pivotArea dataOnly="0" labelOnly="1" fieldPosition="0">
        <references count="1">
          <reference field="0" count="1">
            <x v="1"/>
          </reference>
        </references>
      </pivotArea>
    </format>
    <format dxfId="15">
      <pivotArea dataOnly="0" labelOnly="1" fieldPosition="0">
        <references count="1">
          <reference field="0" count="1">
            <x v="2"/>
          </reference>
        </references>
      </pivotArea>
    </format>
    <format dxfId="14">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4E0CC82-5355-4446-8549-0A0B32A798FD}"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5315C2B-83C0-48A4-A495-0D810D696ABE}" sourceName="[calls].[Representative]">
  <pivotTables>
    <pivotTable tabId="6" name="rep pivot"/>
    <pivotTable tabId="6" name="Monthly Trend"/>
    <pivotTable tabId="6" name="Weekly Trend"/>
    <pivotTable tabId="6" name="Selected Rep"/>
    <pivotTable tabId="6" name="Rep Satisfaction"/>
  </pivotTables>
  <data>
    <olap pivotCacheId="167076895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1]"/>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730B3969-D698-41E7-856C-9E6E0E5E9BFB}" cache="Slicer_Representative" caption="Representative" level="1" style="SlicerStyleLight2 2"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D160F8BE-1610-4A2B-92D2-423C786B1A48}" cache="Slicer_Representative" caption="Representative" level="1"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3"/>
    <tableColumn id="5" xr3:uid="{5A35565E-8707-4DED-AD15-A0669D67B382}" name="Date of Call" dataDxfId="12"/>
    <tableColumn id="6" xr3:uid="{F2E4F158-B41F-47BC-8DF8-DFCADFEE4E40}" name="Purchase Amount"/>
    <tableColumn id="7" xr3:uid="{04B291B5-47BD-4F78-8FD8-D1551CCA6BD9}" name="Satisfaction Rating"/>
    <tableColumn id="8" xr3:uid="{6E4123C0-0B17-43B8-A142-A1E540CE974C}" name="FY" dataDxfId="11">
      <calculatedColumnFormula>IF(MONTH(calls[[#This Row],[Date of Call]])&lt;=6, YEAR(calls[[#This Row],[Date of Call]]), YEAR(calls[[#This Row],[Date of Call]])+1)</calculatedColumnFormula>
    </tableColumn>
    <tableColumn id="9" xr3:uid="{199FA271-5E9B-46CE-9BC6-2801F92CD17E}" name="Day of week" dataDxfId="10">
      <calculatedColumnFormula>TEXT(calls[[#This Row],[Date of Call]],"DDDD")</calculatedColumnFormula>
    </tableColumn>
    <tableColumn id="10" xr3:uid="{328CDB09-95B8-4D5E-9ED9-EF0D363735A1}" name="Duration Bucket" dataDxfId="9">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8">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7" headerRowBorderDxfId="6" tableBorderDxfId="5" totalsRowBorderDxfId="4">
  <autoFilter ref="Q3:T18" xr:uid="{27158F51-A707-4171-8A04-81FB0AABCBA5}"/>
  <tableColumns count="4">
    <tableColumn id="1" xr3:uid="{02688061-6A8C-4E23-B7FF-D00CD8B58CAC}" name="Customer ID" dataDxfId="3"/>
    <tableColumn id="2" xr3:uid="{771678B6-DB44-426B-9874-B4E421A440D5}" name="Gedner" dataDxfId="2"/>
    <tableColumn id="3" xr3:uid="{B0D41C62-587E-494D-B49A-603F2C05F8D3}" name="Age" dataDxfId="1"/>
    <tableColumn id="4" xr3:uid="{663F92D6-FE31-4D81-9E01-8D066DDC8A88}" name="City"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2.xml"/><Relationship Id="rId4" Type="http://schemas.openxmlformats.org/officeDocument/2006/relationships/pivotTable" Target="../pivotTables/pivotTable4.xml"/><Relationship Id="rId9"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12" sqref="C12"/>
    </sheetView>
  </sheetViews>
  <sheetFormatPr defaultRowHeight="14.5" x14ac:dyDescent="0.35"/>
  <cols>
    <col min="1" max="1" width="3.25" customWidth="1"/>
    <col min="2" max="2" width="14.58203125" customWidth="1"/>
    <col min="3" max="3" width="12.83203125" customWidth="1"/>
    <col min="4" max="4" width="16.58203125" customWidth="1"/>
    <col min="5" max="5" width="15" customWidth="1"/>
    <col min="6" max="6" width="16.08203125" customWidth="1"/>
    <col min="7" max="7" width="17.25" customWidth="1"/>
    <col min="8" max="8" width="18.33203125" customWidth="1"/>
    <col min="9" max="9" width="17.25" customWidth="1"/>
    <col min="10" max="12" width="15.5" customWidth="1"/>
    <col min="13" max="16" width="7.5" customWidth="1"/>
    <col min="17" max="17" width="14.58203125" customWidth="1"/>
    <col min="20" max="20" width="10.58203125" customWidth="1"/>
  </cols>
  <sheetData>
    <row r="1" spans="2:20" s="4" customFormat="1" ht="48" customHeight="1" x14ac:dyDescent="0.35">
      <c r="B1" s="5" t="s">
        <v>1003</v>
      </c>
    </row>
    <row r="2" spans="2:20" x14ac:dyDescent="0.35">
      <c r="R2" s="1"/>
    </row>
    <row r="3" spans="2:20" x14ac:dyDescent="0.35">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topLeftCell="A7" zoomScale="115" zoomScaleNormal="115" workbookViewId="0">
      <selection activeCell="C22" sqref="C22"/>
    </sheetView>
  </sheetViews>
  <sheetFormatPr defaultRowHeight="14.5" x14ac:dyDescent="0.35"/>
  <cols>
    <col min="5" max="5" width="10.83203125" customWidth="1"/>
    <col min="6" max="6" width="9.83203125" customWidth="1"/>
  </cols>
  <sheetData>
    <row r="2" spans="5:6" x14ac:dyDescent="0.35">
      <c r="E2" t="s">
        <v>1040</v>
      </c>
      <c r="F2" t="s">
        <v>1041</v>
      </c>
    </row>
    <row r="3" spans="5:6" ht="25.5" customHeight="1" x14ac:dyDescent="0.35">
      <c r="E3" t="s">
        <v>11</v>
      </c>
      <c r="F3" t="e">
        <v>#VALUE!</v>
      </c>
    </row>
    <row r="4" spans="5:6" ht="25.5" customHeight="1" x14ac:dyDescent="0.35">
      <c r="E4" t="s">
        <v>9</v>
      </c>
      <c r="F4" t="e" vm="1">
        <v>#VALUE!</v>
      </c>
    </row>
    <row r="5" spans="5:6" ht="25.5" customHeight="1" x14ac:dyDescent="0.35">
      <c r="E5" t="s">
        <v>6</v>
      </c>
      <c r="F5" t="e">
        <v>#VALUE!</v>
      </c>
    </row>
    <row r="6" spans="5:6" ht="25.5" customHeight="1" x14ac:dyDescent="0.35">
      <c r="E6" t="s">
        <v>13</v>
      </c>
      <c r="F6" t="e" vm="2">
        <v>#VALUE!</v>
      </c>
    </row>
    <row r="7" spans="5:6" ht="25.5" customHeight="1" x14ac:dyDescent="0.35">
      <c r="E7" t="s">
        <v>10</v>
      </c>
      <c r="F7" t="e" vm="3">
        <v>#VALUE!</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21A09-0F51-4452-9F8B-C43F0FE8A2F1}">
  <dimension ref="A1"/>
  <sheetViews>
    <sheetView zoomScale="70" workbookViewId="0">
      <selection activeCell="W27" sqref="W27"/>
    </sheetView>
  </sheetViews>
  <sheetFormatPr defaultRowHeight="14.5" x14ac:dyDescent="0.35"/>
  <cols>
    <col min="1" max="1" width="1.6640625" style="20" customWidth="1"/>
    <col min="2" max="16384" width="8.6640625" style="2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51CD6-4AA6-4F85-8A56-C2D2A0F0491B}">
  <dimension ref="A3:I90"/>
  <sheetViews>
    <sheetView tabSelected="1" topLeftCell="A37" workbookViewId="0">
      <selection activeCell="G53" sqref="G53"/>
    </sheetView>
  </sheetViews>
  <sheetFormatPr defaultRowHeight="14.5" x14ac:dyDescent="0.35"/>
  <cols>
    <col min="1" max="1" width="12.33203125" bestFit="1" customWidth="1"/>
    <col min="2" max="2" width="9.83203125" bestFit="1" customWidth="1"/>
    <col min="3" max="3" width="10.83203125" bestFit="1" customWidth="1"/>
    <col min="4" max="4" width="7.33203125" bestFit="1" customWidth="1"/>
    <col min="5" max="5" width="12.83203125" bestFit="1" customWidth="1"/>
    <col min="8" max="8" width="11.08203125" customWidth="1"/>
    <col min="9" max="9" width="11" customWidth="1"/>
  </cols>
  <sheetData>
    <row r="3" spans="1:5" x14ac:dyDescent="0.35">
      <c r="A3" t="s">
        <v>1042</v>
      </c>
      <c r="B3" t="s">
        <v>1043</v>
      </c>
      <c r="C3" t="s">
        <v>1044</v>
      </c>
      <c r="D3" t="s">
        <v>1045</v>
      </c>
      <c r="E3" t="s">
        <v>1046</v>
      </c>
    </row>
    <row r="4" spans="1:5" x14ac:dyDescent="0.35">
      <c r="A4" s="21">
        <v>1000</v>
      </c>
      <c r="B4" s="22">
        <v>96623</v>
      </c>
      <c r="C4" s="23">
        <v>3.8854000000000033</v>
      </c>
      <c r="D4" s="21">
        <v>307</v>
      </c>
      <c r="E4" s="21">
        <v>89850</v>
      </c>
    </row>
    <row r="9" spans="1:5" x14ac:dyDescent="0.35">
      <c r="A9" t="s">
        <v>1042</v>
      </c>
      <c r="B9" t="s">
        <v>1043</v>
      </c>
      <c r="C9" t="s">
        <v>1044</v>
      </c>
      <c r="D9" t="s">
        <v>1045</v>
      </c>
      <c r="E9" t="s">
        <v>1046</v>
      </c>
    </row>
    <row r="10" spans="1:5" x14ac:dyDescent="0.35">
      <c r="A10" s="21">
        <v>189</v>
      </c>
      <c r="B10" s="22">
        <v>18415</v>
      </c>
      <c r="C10" s="23">
        <v>3.9227513227513247</v>
      </c>
      <c r="D10" s="21">
        <v>60</v>
      </c>
      <c r="E10" s="21">
        <v>16834</v>
      </c>
    </row>
    <row r="19" spans="1:3" x14ac:dyDescent="0.35">
      <c r="A19" s="24" t="s">
        <v>1047</v>
      </c>
      <c r="B19" t="s">
        <v>1042</v>
      </c>
      <c r="C19" t="s">
        <v>1061</v>
      </c>
    </row>
    <row r="20" spans="1:3" x14ac:dyDescent="0.35">
      <c r="A20" s="25" t="s">
        <v>1049</v>
      </c>
      <c r="B20" s="21">
        <v>16</v>
      </c>
      <c r="C20" s="21">
        <v>16</v>
      </c>
    </row>
    <row r="21" spans="1:3" x14ac:dyDescent="0.35">
      <c r="A21" s="25" t="s">
        <v>1050</v>
      </c>
      <c r="B21" s="21">
        <v>14</v>
      </c>
      <c r="C21" s="21">
        <v>14</v>
      </c>
    </row>
    <row r="22" spans="1:3" x14ac:dyDescent="0.35">
      <c r="A22" s="25" t="s">
        <v>1051</v>
      </c>
      <c r="B22" s="21">
        <v>26</v>
      </c>
      <c r="C22" s="21">
        <v>26</v>
      </c>
    </row>
    <row r="23" spans="1:3" x14ac:dyDescent="0.35">
      <c r="A23" s="25" t="s">
        <v>1052</v>
      </c>
      <c r="B23" s="21">
        <v>29</v>
      </c>
      <c r="C23" s="21">
        <v>29</v>
      </c>
    </row>
    <row r="24" spans="1:3" x14ac:dyDescent="0.35">
      <c r="A24" s="25" t="s">
        <v>1053</v>
      </c>
      <c r="B24" s="21">
        <v>17</v>
      </c>
      <c r="C24" s="21">
        <v>17</v>
      </c>
    </row>
    <row r="25" spans="1:3" x14ac:dyDescent="0.35">
      <c r="A25" s="25" t="s">
        <v>1054</v>
      </c>
      <c r="B25" s="21">
        <v>15</v>
      </c>
      <c r="C25" s="21">
        <v>15</v>
      </c>
    </row>
    <row r="26" spans="1:3" x14ac:dyDescent="0.35">
      <c r="A26" s="25" t="s">
        <v>1055</v>
      </c>
      <c r="B26" s="21">
        <v>15</v>
      </c>
      <c r="C26" s="21">
        <v>15</v>
      </c>
    </row>
    <row r="27" spans="1:3" x14ac:dyDescent="0.35">
      <c r="A27" s="25" t="s">
        <v>1056</v>
      </c>
      <c r="B27" s="21">
        <v>7</v>
      </c>
      <c r="C27" s="21">
        <v>7</v>
      </c>
    </row>
    <row r="28" spans="1:3" x14ac:dyDescent="0.35">
      <c r="A28" s="25" t="s">
        <v>1057</v>
      </c>
      <c r="B28" s="21">
        <v>11</v>
      </c>
      <c r="C28" s="21">
        <v>11</v>
      </c>
    </row>
    <row r="29" spans="1:3" x14ac:dyDescent="0.35">
      <c r="A29" s="25" t="s">
        <v>1058</v>
      </c>
      <c r="B29" s="21">
        <v>24</v>
      </c>
      <c r="C29" s="21">
        <v>24</v>
      </c>
    </row>
    <row r="30" spans="1:3" x14ac:dyDescent="0.35">
      <c r="A30" s="25" t="s">
        <v>1059</v>
      </c>
      <c r="B30" s="21">
        <v>9</v>
      </c>
      <c r="C30" s="21">
        <v>9</v>
      </c>
    </row>
    <row r="31" spans="1:3" x14ac:dyDescent="0.35">
      <c r="A31" s="25" t="s">
        <v>1060</v>
      </c>
      <c r="B31" s="21">
        <v>6</v>
      </c>
      <c r="C31" s="21">
        <v>6</v>
      </c>
    </row>
    <row r="32" spans="1:3" x14ac:dyDescent="0.35">
      <c r="A32" s="25" t="s">
        <v>1048</v>
      </c>
      <c r="B32" s="21">
        <v>189</v>
      </c>
      <c r="C32" s="21">
        <v>189</v>
      </c>
    </row>
    <row r="37" spans="1:2" x14ac:dyDescent="0.35">
      <c r="A37" s="24" t="s">
        <v>1047</v>
      </c>
      <c r="B37" t="s">
        <v>1042</v>
      </c>
    </row>
    <row r="38" spans="1:2" x14ac:dyDescent="0.35">
      <c r="A38" s="25" t="s">
        <v>1065</v>
      </c>
      <c r="B38" s="21">
        <v>36</v>
      </c>
    </row>
    <row r="39" spans="1:2" x14ac:dyDescent="0.35">
      <c r="A39" s="25" t="s">
        <v>1063</v>
      </c>
      <c r="B39" s="21">
        <v>30</v>
      </c>
    </row>
    <row r="40" spans="1:2" x14ac:dyDescent="0.35">
      <c r="A40" s="25" t="s">
        <v>1067</v>
      </c>
      <c r="B40" s="21">
        <v>13</v>
      </c>
    </row>
    <row r="41" spans="1:2" x14ac:dyDescent="0.35">
      <c r="A41" s="25" t="s">
        <v>1068</v>
      </c>
      <c r="B41" s="21">
        <v>23</v>
      </c>
    </row>
    <row r="42" spans="1:2" x14ac:dyDescent="0.35">
      <c r="A42" s="25" t="s">
        <v>1066</v>
      </c>
      <c r="B42" s="21">
        <v>23</v>
      </c>
    </row>
    <row r="43" spans="1:2" x14ac:dyDescent="0.35">
      <c r="A43" s="25" t="s">
        <v>1062</v>
      </c>
      <c r="B43" s="21">
        <v>24</v>
      </c>
    </row>
    <row r="44" spans="1:2" x14ac:dyDescent="0.35">
      <c r="A44" s="25" t="s">
        <v>1064</v>
      </c>
      <c r="B44" s="21">
        <v>40</v>
      </c>
    </row>
    <row r="45" spans="1:2" x14ac:dyDescent="0.35">
      <c r="A45" s="25" t="s">
        <v>1048</v>
      </c>
      <c r="B45" s="21">
        <v>189</v>
      </c>
    </row>
    <row r="51" spans="1:9" x14ac:dyDescent="0.35">
      <c r="F51" t="s">
        <v>1069</v>
      </c>
      <c r="H51" t="s">
        <v>1075</v>
      </c>
      <c r="I51" t="str">
        <f>A69</f>
        <v>R01</v>
      </c>
    </row>
    <row r="52" spans="1:9" x14ac:dyDescent="0.35">
      <c r="A52" s="24" t="s">
        <v>1047</v>
      </c>
      <c r="B52" t="s">
        <v>1042</v>
      </c>
      <c r="C52" t="s">
        <v>1043</v>
      </c>
      <c r="E52" t="s">
        <v>1070</v>
      </c>
      <c r="F52" t="s">
        <v>1071</v>
      </c>
      <c r="G52" t="s">
        <v>1072</v>
      </c>
      <c r="H52" t="s">
        <v>1073</v>
      </c>
      <c r="I52" t="s">
        <v>1074</v>
      </c>
    </row>
    <row r="53" spans="1:9" x14ac:dyDescent="0.35">
      <c r="A53" s="25" t="s">
        <v>11</v>
      </c>
      <c r="B53" s="21">
        <v>189</v>
      </c>
      <c r="C53" s="22">
        <v>18415</v>
      </c>
      <c r="E53" t="str">
        <f>A53</f>
        <v>R01</v>
      </c>
      <c r="F53">
        <f t="shared" ref="F53:G57" si="0">B53</f>
        <v>189</v>
      </c>
      <c r="G53" s="26">
        <f t="shared" si="0"/>
        <v>18415</v>
      </c>
      <c r="H53">
        <f>IF(E53=$I$51,F53,NA())</f>
        <v>189</v>
      </c>
      <c r="I53">
        <f>IF(E53=$I$51,G53,NA())</f>
        <v>18415</v>
      </c>
    </row>
    <row r="54" spans="1:9" x14ac:dyDescent="0.35">
      <c r="A54" s="25" t="s">
        <v>9</v>
      </c>
      <c r="B54" s="21">
        <v>218</v>
      </c>
      <c r="C54" s="22">
        <v>20581</v>
      </c>
      <c r="E54" t="str">
        <f t="shared" ref="E54:E57" si="1">A54</f>
        <v>R02</v>
      </c>
      <c r="F54">
        <f t="shared" si="0"/>
        <v>218</v>
      </c>
      <c r="G54" s="26">
        <f t="shared" si="0"/>
        <v>20581</v>
      </c>
      <c r="H54" t="e">
        <f t="shared" ref="H54:H57" si="2">IF(E54=$I$51,F54,NA())</f>
        <v>#N/A</v>
      </c>
      <c r="I54" t="e">
        <f t="shared" ref="I54:I57" si="3">IF(E54=$I$51,G54,NA())</f>
        <v>#N/A</v>
      </c>
    </row>
    <row r="55" spans="1:9" x14ac:dyDescent="0.35">
      <c r="A55" s="25" t="s">
        <v>6</v>
      </c>
      <c r="B55" s="21">
        <v>207</v>
      </c>
      <c r="C55" s="22">
        <v>20872</v>
      </c>
      <c r="E55" t="str">
        <f t="shared" si="1"/>
        <v>R03</v>
      </c>
      <c r="F55">
        <f t="shared" si="0"/>
        <v>207</v>
      </c>
      <c r="G55" s="26">
        <f t="shared" si="0"/>
        <v>20872</v>
      </c>
      <c r="H55" t="e">
        <f t="shared" si="2"/>
        <v>#N/A</v>
      </c>
      <c r="I55" t="e">
        <f t="shared" si="3"/>
        <v>#N/A</v>
      </c>
    </row>
    <row r="56" spans="1:9" x14ac:dyDescent="0.35">
      <c r="A56" s="25" t="s">
        <v>13</v>
      </c>
      <c r="B56" s="21">
        <v>186</v>
      </c>
      <c r="C56" s="22">
        <v>16651</v>
      </c>
      <c r="E56" t="str">
        <f t="shared" si="1"/>
        <v>R04</v>
      </c>
      <c r="F56">
        <f t="shared" si="0"/>
        <v>186</v>
      </c>
      <c r="G56" s="26">
        <f t="shared" si="0"/>
        <v>16651</v>
      </c>
      <c r="H56" t="e">
        <f t="shared" si="2"/>
        <v>#N/A</v>
      </c>
      <c r="I56" t="e">
        <f t="shared" si="3"/>
        <v>#N/A</v>
      </c>
    </row>
    <row r="57" spans="1:9" x14ac:dyDescent="0.35">
      <c r="A57" s="25" t="s">
        <v>10</v>
      </c>
      <c r="B57" s="21">
        <v>200</v>
      </c>
      <c r="C57" s="22">
        <v>20104</v>
      </c>
      <c r="E57" t="str">
        <f t="shared" si="1"/>
        <v>R05</v>
      </c>
      <c r="F57">
        <f t="shared" si="0"/>
        <v>200</v>
      </c>
      <c r="G57" s="26">
        <f t="shared" si="0"/>
        <v>20104</v>
      </c>
      <c r="H57" t="e">
        <f t="shared" si="2"/>
        <v>#N/A</v>
      </c>
      <c r="I57" t="e">
        <f t="shared" si="3"/>
        <v>#N/A</v>
      </c>
    </row>
    <row r="58" spans="1:9" x14ac:dyDescent="0.35">
      <c r="A58" s="25" t="s">
        <v>1048</v>
      </c>
      <c r="B58" s="21">
        <v>1000</v>
      </c>
      <c r="C58" s="22">
        <v>96623</v>
      </c>
    </row>
    <row r="68" spans="1:4" x14ac:dyDescent="0.35">
      <c r="A68" s="24" t="s">
        <v>1047</v>
      </c>
    </row>
    <row r="69" spans="1:4" x14ac:dyDescent="0.35">
      <c r="A69" s="27" t="s">
        <v>11</v>
      </c>
    </row>
    <row r="73" spans="1:4" x14ac:dyDescent="0.35">
      <c r="A73" s="24" t="s">
        <v>1042</v>
      </c>
      <c r="B73" s="24" t="s">
        <v>1076</v>
      </c>
    </row>
    <row r="74" spans="1:4" x14ac:dyDescent="0.35">
      <c r="A74" s="24" t="s">
        <v>1047</v>
      </c>
      <c r="B74" t="s">
        <v>999</v>
      </c>
      <c r="C74" t="s">
        <v>998</v>
      </c>
      <c r="D74" t="s">
        <v>1048</v>
      </c>
    </row>
    <row r="75" spans="1:4" x14ac:dyDescent="0.35">
      <c r="A75" s="25" t="s">
        <v>1002</v>
      </c>
      <c r="B75" s="21">
        <v>144</v>
      </c>
      <c r="C75" s="21">
        <v>132</v>
      </c>
      <c r="D75" s="21">
        <v>276</v>
      </c>
    </row>
    <row r="76" spans="1:4" x14ac:dyDescent="0.35">
      <c r="A76" s="25" t="s">
        <v>1001</v>
      </c>
      <c r="B76" s="21">
        <v>326</v>
      </c>
      <c r="C76" s="21">
        <v>63</v>
      </c>
      <c r="D76" s="21">
        <v>389</v>
      </c>
    </row>
    <row r="77" spans="1:4" x14ac:dyDescent="0.35">
      <c r="A77" s="25" t="s">
        <v>1000</v>
      </c>
      <c r="B77" s="21">
        <v>129</v>
      </c>
      <c r="C77" s="21">
        <v>206</v>
      </c>
      <c r="D77" s="21">
        <v>335</v>
      </c>
    </row>
    <row r="78" spans="1:4" x14ac:dyDescent="0.35">
      <c r="A78" s="25" t="s">
        <v>1048</v>
      </c>
      <c r="B78" s="21">
        <v>599</v>
      </c>
      <c r="C78" s="21">
        <v>401</v>
      </c>
      <c r="D78" s="21">
        <v>1000</v>
      </c>
    </row>
    <row r="84" spans="1:2" x14ac:dyDescent="0.35">
      <c r="A84" s="24" t="s">
        <v>1047</v>
      </c>
      <c r="B84" t="s">
        <v>1042</v>
      </c>
    </row>
    <row r="85" spans="1:2" x14ac:dyDescent="0.35">
      <c r="A85" s="25">
        <v>1</v>
      </c>
      <c r="B85" s="21">
        <v>1</v>
      </c>
    </row>
    <row r="86" spans="1:2" x14ac:dyDescent="0.35">
      <c r="A86" s="25">
        <v>2</v>
      </c>
      <c r="B86" s="21">
        <v>9</v>
      </c>
    </row>
    <row r="87" spans="1:2" x14ac:dyDescent="0.35">
      <c r="A87" s="25">
        <v>3</v>
      </c>
      <c r="B87" s="21">
        <v>31</v>
      </c>
    </row>
    <row r="88" spans="1:2" x14ac:dyDescent="0.35">
      <c r="A88" s="25">
        <v>4</v>
      </c>
      <c r="B88" s="21">
        <v>88</v>
      </c>
    </row>
    <row r="89" spans="1:2" x14ac:dyDescent="0.35">
      <c r="A89" s="25">
        <v>5</v>
      </c>
      <c r="B89" s="21">
        <v>60</v>
      </c>
    </row>
    <row r="90" spans="1:2" x14ac:dyDescent="0.35">
      <c r="A90" s="25" t="s">
        <v>1048</v>
      </c>
      <c r="B90" s="21">
        <v>189</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Assets</vt:lpstr>
      <vt:lpstr>Sheet1</vt:lpstr>
      <vt:lpstr>Pivots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Dell 7490</cp:lastModifiedBy>
  <dcterms:created xsi:type="dcterms:W3CDTF">2021-03-14T20:21:32Z</dcterms:created>
  <dcterms:modified xsi:type="dcterms:W3CDTF">2026-06-12T12:17:57Z</dcterms:modified>
</cp:coreProperties>
</file>